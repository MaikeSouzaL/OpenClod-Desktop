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'Dados'!$A$1:$E$37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8"/>
    </font>
    <font>
      <name val="Calibri"/>
      <i val="1"/>
      <color rgb="00595959"/>
      <sz val="9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b val="1"/>
      <color rgb="001F3864"/>
      <sz val="10"/>
    </font>
    <font>
      <name val="Calibri"/>
      <i val="1"/>
      <color rgb="00595959"/>
      <sz val="8.5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AF1F9"/>
      </patternFill>
    </fill>
    <fill>
      <patternFill patternType="solid">
        <fgColor rgb="00DCE7F3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3" fillId="4" borderId="1" pivotButton="0" quotePrefix="0" xfId="0"/>
    <xf numFmtId="164" fontId="3" fillId="4" borderId="1" pivotButton="0" quotePrefix="0" xfId="0"/>
    <xf numFmtId="3" fontId="3" fillId="4" borderId="1" pivotButton="0" quotePrefix="0" xfId="0"/>
    <xf numFmtId="165" fontId="3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7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0" fontId="9" fillId="0" borderId="0" applyAlignment="1" pivotButton="0" quotePrefix="0" xfId="0">
      <alignment vertical="top" wrapText="1"/>
    </xf>
    <xf numFmtId="3" fontId="2" fillId="0" borderId="1" pivotButton="0" quotePrefix="0" xfId="0"/>
    <xf numFmtId="164" fontId="2" fillId="0" borderId="1" pivotButton="0" quotePrefix="0" xfId="0"/>
    <xf numFmtId="0" fontId="3" fillId="3" borderId="1" pivotButton="0" quotePrefix="0" xfId="0"/>
    <xf numFmtId="3" fontId="3" fillId="3" borderId="1" pivotButton="0" quotePrefix="0" xfId="0"/>
    <xf numFmtId="164" fontId="3" fillId="3" borderId="1" pivotButton="0" quotePrefix="0" xfId="0"/>
  </cellXfs>
  <cellStyles count="1">
    <cellStyle name="Normal" xfId="0" builtinId="0" hidden="0"/>
  </cellStyles>
  <dxfs count="2">
    <dxf>
      <font>
        <b val="1"/>
        <color rgb="001E7B34"/>
      </font>
      <fill>
        <patternFill patternType="solid">
          <fgColor rgb="00E2EFDA"/>
        </patternFill>
      </fill>
    </dxf>
    <dxf>
      <font>
        <b val="1"/>
        <color rgb="00B01F1F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endas" displayName="Vendas" ref="A1:E37" headerRowCount="1">
  <autoFilter ref="A1:E37"/>
  <tableColumns count="5">
    <tableColumn id="1" name="mes"/>
    <tableColumn id="2" name="regiao"/>
    <tableColumn id="3" name="produto"/>
    <tableColumn id="4" name="unidades"/>
    <tableColumn id="5" name="receita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5" customWidth="1" min="4" max="4"/>
    <col width="15" customWidth="1" min="5" max="5"/>
    <col width="12" customWidth="1" min="6" max="6"/>
    <col hidden="1" width="14" customWidth="1" min="7" max="7"/>
  </cols>
  <sheetData>
    <row r="1" ht="30" customHeight="1">
      <c r="A1" s="1" t="inlineStr">
        <is>
          <t>Análise de Vendas — 1º Semestre 2026</t>
        </is>
      </c>
    </row>
    <row r="2">
      <c r="A2" s="2" t="inlineStr">
        <is>
          <t>Base: vendas_2026.csv (36 registros) e metas.txt  ·  Todos os totais desta aba são fórmulas que leem a aba Dados  ·  Preparado pela Equipe Alfa</t>
        </is>
      </c>
    </row>
    <row r="4">
      <c r="A4" s="3" t="inlineStr">
        <is>
          <t>1. Receita, média mensal e atingimento da meta por região</t>
        </is>
      </c>
    </row>
    <row r="5" ht="26" customHeight="1">
      <c r="A5" s="4" t="inlineStr">
        <is>
          <t>Região</t>
        </is>
      </c>
      <c r="B5" s="5" t="inlineStr">
        <is>
          <t>Receita total</t>
        </is>
      </c>
      <c r="C5" s="5" t="inlineStr">
        <is>
          <t>Unidades</t>
        </is>
      </c>
      <c r="D5" s="5" t="inlineStr">
        <is>
          <t>Média mensal</t>
        </is>
      </c>
      <c r="E5" s="5" t="inlineStr">
        <is>
          <t>Meta da região</t>
        </is>
      </c>
      <c r="F5" s="5" t="inlineStr">
        <is>
          <t>Atingimento</t>
        </is>
      </c>
      <c r="G5" s="5" t="inlineStr">
        <is>
          <t>Situação</t>
        </is>
      </c>
    </row>
    <row r="6">
      <c r="A6" s="6" t="inlineStr">
        <is>
          <t>Sul</t>
        </is>
      </c>
      <c r="B6" s="7">
        <f>SUMIF(Dados!$B$2:$B$37,$A6,Dados!$E$2:$E$37)</f>
        <v/>
      </c>
      <c r="C6" s="8">
        <f>SUMIF(Dados!$B$2:$B$37,$A6,Dados!$D$2:$D$37)</f>
        <v/>
      </c>
      <c r="D6" s="7">
        <f>IFERROR(B6/SUMPRODUCT((Dados!$B$2:$B$37=$A6)/COUNTIFS(Dados!$A$2:$A$37,Dados!$A$2:$A$37,Dados!$B$2:$B$37,Dados!$B$2:$B$37)),"")</f>
        <v/>
      </c>
      <c r="E6" s="7" t="n">
        <v>150000</v>
      </c>
      <c r="F6" s="9">
        <f>IFERROR(B6/E6,"")</f>
        <v/>
      </c>
      <c r="G6" s="10">
        <f>IF(F6="","",IF(F6&gt;=1,"Meta atingida","Abaixo da meta"))</f>
        <v/>
      </c>
    </row>
    <row r="7">
      <c r="A7" s="6" t="inlineStr">
        <is>
          <t>Sudeste</t>
        </is>
      </c>
      <c r="B7" s="7">
        <f>SUMIF(Dados!$B$2:$B$37,$A7,Dados!$E$2:$E$37)</f>
        <v/>
      </c>
      <c r="C7" s="8">
        <f>SUMIF(Dados!$B$2:$B$37,$A7,Dados!$D$2:$D$37)</f>
        <v/>
      </c>
      <c r="D7" s="7">
        <f>IFERROR(B7/SUMPRODUCT((Dados!$B$2:$B$37=$A7)/COUNTIFS(Dados!$A$2:$A$37,Dados!$A$2:$A$37,Dados!$B$2:$B$37,Dados!$B$2:$B$37)),"")</f>
        <v/>
      </c>
      <c r="E7" s="7" t="n">
        <v>200000</v>
      </c>
      <c r="F7" s="9">
        <f>IFERROR(B7/E7,"")</f>
        <v/>
      </c>
      <c r="G7" s="10">
        <f>IF(F7="","",IF(F7&gt;=1,"Meta atingida","Abaixo da meta"))</f>
        <v/>
      </c>
    </row>
    <row r="8">
      <c r="A8" s="6" t="inlineStr">
        <is>
          <t>Nordeste</t>
        </is>
      </c>
      <c r="B8" s="7">
        <f>SUMIF(Dados!$B$2:$B$37,$A8,Dados!$E$2:$E$37)</f>
        <v/>
      </c>
      <c r="C8" s="8">
        <f>SUMIF(Dados!$B$2:$B$37,$A8,Dados!$D$2:$D$37)</f>
        <v/>
      </c>
      <c r="D8" s="7">
        <f>IFERROR(B8/SUMPRODUCT((Dados!$B$2:$B$37=$A8)/COUNTIFS(Dados!$A$2:$A$37,Dados!$A$2:$A$37,Dados!$B$2:$B$37,Dados!$B$2:$B$37)),"")</f>
        <v/>
      </c>
      <c r="E8" s="7" t="n">
        <v>130000</v>
      </c>
      <c r="F8" s="9">
        <f>IFERROR(B8/E8,"")</f>
        <v/>
      </c>
      <c r="G8" s="10">
        <f>IF(F8="","",IF(F8&gt;=1,"Meta atingida","Abaixo da meta"))</f>
        <v/>
      </c>
    </row>
    <row r="9">
      <c r="A9" s="11" t="inlineStr">
        <is>
          <t>Total</t>
        </is>
      </c>
      <c r="B9" s="12">
        <f>SUM(B6:B8)</f>
        <v/>
      </c>
      <c r="C9" s="13">
        <f>SUM(C6:C8)</f>
        <v/>
      </c>
      <c r="D9" s="12">
        <f>IFERROR(B9/SUMPRODUCT(1/COUNTIF(Dados!$A$2:$A$37,Dados!$A$2:$A$37)),"")</f>
        <v/>
      </c>
      <c r="E9" s="12">
        <f>SUM(E6:E8)</f>
        <v/>
      </c>
      <c r="F9" s="14">
        <f>IFERROR(B9/E9,"")</f>
        <v/>
      </c>
      <c r="G9" s="11">
        <f>IF(F9&gt;=1,"Meta atingida","Abaixo da meta")</f>
        <v/>
      </c>
    </row>
    <row r="11">
      <c r="A11" s="3" t="inlineStr">
        <is>
          <t>2. Evolução mensal</t>
        </is>
      </c>
    </row>
    <row r="12" ht="26" customHeight="1">
      <c r="A12" s="4" t="inlineStr">
        <is>
          <t>Mês</t>
        </is>
      </c>
      <c r="B12" s="5" t="inlineStr">
        <is>
          <t>Receita</t>
        </is>
      </c>
      <c r="C12" s="5" t="inlineStr">
        <is>
          <t>Unidades</t>
        </is>
      </c>
      <c r="D12" s="5" t="inlineStr">
        <is>
          <t>Ticket médio</t>
        </is>
      </c>
      <c r="E12" s="5" t="inlineStr">
        <is>
          <t>% do semestre</t>
        </is>
      </c>
      <c r="F12" s="5" t="inlineStr"/>
      <c r="G12" s="15" t="inlineStr">
        <is>
          <t>Código (apoio)</t>
        </is>
      </c>
    </row>
    <row r="13">
      <c r="A13" s="10">
        <f>CHOOSE(VALUE(RIGHT($G13,2)),"Jan","Fev","Mar","Abr","Mai","Jun","Jul","Ago","Set","Out","Nov","Dez")&amp;"/"&amp;LEFT($G13,4)</f>
        <v/>
      </c>
      <c r="B13" s="7">
        <f>SUMIF(Dados!$A$2:$A$37,$G13,Dados!$E$2:$E$37)</f>
        <v/>
      </c>
      <c r="C13" s="8">
        <f>SUMIF(Dados!$A$2:$A$37,$G13,Dados!$D$2:$D$37)</f>
        <v/>
      </c>
      <c r="D13" s="7">
        <f>IFERROR(B13/C13,"")</f>
        <v/>
      </c>
      <c r="E13" s="9">
        <f>IFERROR(B13/$B$19,"")</f>
        <v/>
      </c>
      <c r="G13" t="inlineStr">
        <is>
          <t>2026-01</t>
        </is>
      </c>
    </row>
    <row r="14">
      <c r="A14" s="10">
        <f>CHOOSE(VALUE(RIGHT($G14,2)),"Jan","Fev","Mar","Abr","Mai","Jun","Jul","Ago","Set","Out","Nov","Dez")&amp;"/"&amp;LEFT($G14,4)</f>
        <v/>
      </c>
      <c r="B14" s="7">
        <f>SUMIF(Dados!$A$2:$A$37,$G14,Dados!$E$2:$E$37)</f>
        <v/>
      </c>
      <c r="C14" s="8">
        <f>SUMIF(Dados!$A$2:$A$37,$G14,Dados!$D$2:$D$37)</f>
        <v/>
      </c>
      <c r="D14" s="7">
        <f>IFERROR(B14/C14,"")</f>
        <v/>
      </c>
      <c r="E14" s="9">
        <f>IFERROR(B14/$B$19,"")</f>
        <v/>
      </c>
      <c r="G14" t="inlineStr">
        <is>
          <t>2026-02</t>
        </is>
      </c>
    </row>
    <row r="15">
      <c r="A15" s="10">
        <f>CHOOSE(VALUE(RIGHT($G15,2)),"Jan","Fev","Mar","Abr","Mai","Jun","Jul","Ago","Set","Out","Nov","Dez")&amp;"/"&amp;LEFT($G15,4)</f>
        <v/>
      </c>
      <c r="B15" s="7">
        <f>SUMIF(Dados!$A$2:$A$37,$G15,Dados!$E$2:$E$37)</f>
        <v/>
      </c>
      <c r="C15" s="8">
        <f>SUMIF(Dados!$A$2:$A$37,$G15,Dados!$D$2:$D$37)</f>
        <v/>
      </c>
      <c r="D15" s="7">
        <f>IFERROR(B15/C15,"")</f>
        <v/>
      </c>
      <c r="E15" s="9">
        <f>IFERROR(B15/$B$19,"")</f>
        <v/>
      </c>
      <c r="G15" t="inlineStr">
        <is>
          <t>2026-03</t>
        </is>
      </c>
    </row>
    <row r="16">
      <c r="A16" s="10">
        <f>CHOOSE(VALUE(RIGHT($G16,2)),"Jan","Fev","Mar","Abr","Mai","Jun","Jul","Ago","Set","Out","Nov","Dez")&amp;"/"&amp;LEFT($G16,4)</f>
        <v/>
      </c>
      <c r="B16" s="7">
        <f>SUMIF(Dados!$A$2:$A$37,$G16,Dados!$E$2:$E$37)</f>
        <v/>
      </c>
      <c r="C16" s="8">
        <f>SUMIF(Dados!$A$2:$A$37,$G16,Dados!$D$2:$D$37)</f>
        <v/>
      </c>
      <c r="D16" s="7">
        <f>IFERROR(B16/C16,"")</f>
        <v/>
      </c>
      <c r="E16" s="9">
        <f>IFERROR(B16/$B$19,"")</f>
        <v/>
      </c>
      <c r="G16" t="inlineStr">
        <is>
          <t>2026-04</t>
        </is>
      </c>
    </row>
    <row r="17">
      <c r="A17" s="10">
        <f>CHOOSE(VALUE(RIGHT($G17,2)),"Jan","Fev","Mar","Abr","Mai","Jun","Jul","Ago","Set","Out","Nov","Dez")&amp;"/"&amp;LEFT($G17,4)</f>
        <v/>
      </c>
      <c r="B17" s="7">
        <f>SUMIF(Dados!$A$2:$A$37,$G17,Dados!$E$2:$E$37)</f>
        <v/>
      </c>
      <c r="C17" s="8">
        <f>SUMIF(Dados!$A$2:$A$37,$G17,Dados!$D$2:$D$37)</f>
        <v/>
      </c>
      <c r="D17" s="7">
        <f>IFERROR(B17/C17,"")</f>
        <v/>
      </c>
      <c r="E17" s="9">
        <f>IFERROR(B17/$B$19,"")</f>
        <v/>
      </c>
      <c r="G17" t="inlineStr">
        <is>
          <t>2026-05</t>
        </is>
      </c>
    </row>
    <row r="18">
      <c r="A18" s="10">
        <f>CHOOSE(VALUE(RIGHT($G18,2)),"Jan","Fev","Mar","Abr","Mai","Jun","Jul","Ago","Set","Out","Nov","Dez")&amp;"/"&amp;LEFT($G18,4)</f>
        <v/>
      </c>
      <c r="B18" s="7">
        <f>SUMIF(Dados!$A$2:$A$37,$G18,Dados!$E$2:$E$37)</f>
        <v/>
      </c>
      <c r="C18" s="8">
        <f>SUMIF(Dados!$A$2:$A$37,$G18,Dados!$D$2:$D$37)</f>
        <v/>
      </c>
      <c r="D18" s="7">
        <f>IFERROR(B18/C18,"")</f>
        <v/>
      </c>
      <c r="E18" s="9">
        <f>IFERROR(B18/$B$19,"")</f>
        <v/>
      </c>
      <c r="G18" t="inlineStr">
        <is>
          <t>2026-06</t>
        </is>
      </c>
    </row>
    <row r="19">
      <c r="A19" s="11" t="inlineStr">
        <is>
          <t>Total do semestre</t>
        </is>
      </c>
      <c r="B19" s="12">
        <f>SUM(B13:B18)</f>
        <v/>
      </c>
      <c r="C19" s="13">
        <f>SUM(C13:C18)</f>
        <v/>
      </c>
      <c r="D19" s="12">
        <f>IFERROR(B19/C19,"")</f>
        <v/>
      </c>
      <c r="E19" s="14">
        <f>SUM(E13:E18)</f>
        <v/>
      </c>
    </row>
    <row r="21">
      <c r="A21" s="3" t="inlineStr">
        <is>
          <t>3. Indicadores gerais</t>
        </is>
      </c>
    </row>
    <row r="22">
      <c r="A22" s="16" t="inlineStr">
        <is>
          <t>Receita total do semestre</t>
        </is>
      </c>
      <c r="B22" s="17">
        <f>B9</f>
        <v/>
      </c>
    </row>
    <row r="23">
      <c r="A23" s="16" t="inlineStr">
        <is>
          <t>Meta total do semestre</t>
        </is>
      </c>
      <c r="B23" s="17">
        <f>E9</f>
        <v/>
      </c>
    </row>
    <row r="24">
      <c r="A24" s="16" t="inlineStr">
        <is>
          <t>Atingimento da meta</t>
        </is>
      </c>
      <c r="B24" s="18">
        <f>F9</f>
        <v/>
      </c>
    </row>
    <row r="25">
      <c r="A25" s="16" t="inlineStr">
        <is>
          <t>Média mensal de receita</t>
        </is>
      </c>
      <c r="B25" s="17">
        <f>B19/COUNTA(G13:G18)</f>
        <v/>
      </c>
    </row>
    <row r="26">
      <c r="A26" s="16" t="inlineStr">
        <is>
          <t>Unidades vendidas</t>
        </is>
      </c>
      <c r="B26" s="19">
        <f>C9</f>
        <v/>
      </c>
    </row>
    <row r="27">
      <c r="A27" s="16" t="inlineStr">
        <is>
          <t>Ticket médio</t>
        </is>
      </c>
      <c r="B27" s="17">
        <f>IFERROR(B9/C9,"")</f>
        <v/>
      </c>
    </row>
    <row r="28">
      <c r="A28" s="16" t="inlineStr">
        <is>
          <t>Região com maior atingimento</t>
        </is>
      </c>
      <c r="B28" s="20">
        <f>INDEX(A6:A8,MATCH(MAX(F6:F8),F6:F8,0))</f>
        <v/>
      </c>
    </row>
    <row r="29">
      <c r="A29" s="16" t="inlineStr">
        <is>
          <t>Região com menor atingimento</t>
        </is>
      </c>
      <c r="B29" s="20">
        <f>INDEX(A6:A8,MATCH(MIN(F6:F8),F6:F8,0))</f>
        <v/>
      </c>
    </row>
    <row r="31">
      <c r="A31" s="3" t="inlineStr">
        <is>
          <t>4. Conferência entre abas</t>
        </is>
      </c>
    </row>
    <row r="32">
      <c r="A32" s="16" t="inlineStr">
        <is>
          <t>Soma da aba Dados</t>
        </is>
      </c>
      <c r="B32" s="17">
        <f>SUM(Dados!E2:E37)</f>
        <v/>
      </c>
    </row>
    <row r="33">
      <c r="A33" s="16" t="inlineStr">
        <is>
          <t>Soma do Resumo</t>
        </is>
      </c>
      <c r="B33" s="17">
        <f>B9</f>
        <v/>
      </c>
    </row>
    <row r="34">
      <c r="A34" s="16" t="inlineStr">
        <is>
          <t>Diferença</t>
        </is>
      </c>
      <c r="B34" s="17">
        <f>B32-B33</f>
        <v/>
      </c>
    </row>
    <row r="35">
      <c r="A35" s="16" t="inlineStr">
        <is>
          <t>Situação da conferência</t>
        </is>
      </c>
      <c r="B35" s="20">
        <f>IF(ABS(B34)&lt;0.01,"OK — abas consistentes","Divergência")</f>
        <v/>
      </c>
    </row>
    <row r="37" ht="28" customHeight="1">
      <c r="A37" s="21" t="inlineStr">
        <is>
          <t>Notas: a meta por região é premissa informada em metas.txt; a média mensal usa a quantidade de meses distintos presentes na aba Dados (6); o ticket médio é receita ÷ unidades. Valores em reais.</t>
        </is>
      </c>
    </row>
  </sheetData>
  <mergeCells count="7">
    <mergeCell ref="A1:G1"/>
    <mergeCell ref="A31:G31"/>
    <mergeCell ref="A21:G21"/>
    <mergeCell ref="A4:G4"/>
    <mergeCell ref="A2:G2"/>
    <mergeCell ref="A11:G11"/>
    <mergeCell ref="A37:G37"/>
  </mergeCells>
  <conditionalFormatting sqref="F6:F8">
    <cfRule type="cellIs" priority="1" operator="greaterThanOrEqual" dxfId="0">
      <formula>1</formula>
    </cfRule>
    <cfRule type="cellIs" priority="2" operator="lessThan" dxfId="1">
      <formula>1</formula>
    </cfRule>
  </conditionalFormatting>
  <conditionalFormatting sqref="B13:B18">
    <cfRule type="dataBar" priority="3">
      <dataBar showValue="1">
        <cfvo type="num" val="0"/>
        <cfvo type="num" val="125000"/>
        <color rgb="002E75B6"/>
      </dataBar>
    </cfRule>
  </conditionalFormatting>
  <conditionalFormatting sqref="B35">
    <cfRule type="cellIs" priority="4" operator="equal" dxfId="0">
      <formula>"OK — abas consistentes"</formula>
    </cfRule>
  </conditionalFormatting>
  <printOptions horizontalCentered="1"/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1" customWidth="1" min="4" max="4"/>
    <col width="14" customWidth="1" min="5" max="5"/>
  </cols>
  <sheetData>
    <row r="1" ht="26" customHeight="1">
      <c r="A1" s="4" t="inlineStr">
        <is>
          <t>mes</t>
        </is>
      </c>
      <c r="B1" s="5" t="inlineStr">
        <is>
          <t>regiao</t>
        </is>
      </c>
      <c r="C1" s="5" t="inlineStr">
        <is>
          <t>produto</t>
        </is>
      </c>
      <c r="D1" s="5" t="inlineStr">
        <is>
          <t>unidades</t>
        </is>
      </c>
      <c r="E1" s="5" t="inlineStr">
        <is>
          <t>receita</t>
        </is>
      </c>
    </row>
    <row r="2">
      <c r="A2" s="10" t="inlineStr">
        <is>
          <t>2026-01</t>
        </is>
      </c>
      <c r="B2" s="10" t="inlineStr">
        <is>
          <t>Sul</t>
        </is>
      </c>
      <c r="C2" s="10" t="inlineStr">
        <is>
          <t>Plano Basico</t>
        </is>
      </c>
      <c r="D2" s="22" t="n">
        <v>40</v>
      </c>
      <c r="E2" s="23" t="n">
        <v>7960</v>
      </c>
    </row>
    <row r="3">
      <c r="A3" s="10" t="inlineStr">
        <is>
          <t>2026-01</t>
        </is>
      </c>
      <c r="B3" s="10" t="inlineStr">
        <is>
          <t>Sul</t>
        </is>
      </c>
      <c r="C3" s="10" t="inlineStr">
        <is>
          <t>Plano Pro</t>
        </is>
      </c>
      <c r="D3" s="22" t="n">
        <v>45</v>
      </c>
      <c r="E3" s="23" t="n">
        <v>22455</v>
      </c>
    </row>
    <row r="4">
      <c r="A4" s="10" t="inlineStr">
        <is>
          <t>2026-01</t>
        </is>
      </c>
      <c r="B4" s="10" t="inlineStr">
        <is>
          <t>Sudeste</t>
        </is>
      </c>
      <c r="C4" s="10" t="inlineStr">
        <is>
          <t>Plano Basico</t>
        </is>
      </c>
      <c r="D4" s="22" t="n">
        <v>53</v>
      </c>
      <c r="E4" s="23" t="n">
        <v>10547</v>
      </c>
    </row>
    <row r="5">
      <c r="A5" s="10" t="inlineStr">
        <is>
          <t>2026-01</t>
        </is>
      </c>
      <c r="B5" s="10" t="inlineStr">
        <is>
          <t>Sudeste</t>
        </is>
      </c>
      <c r="C5" s="10" t="inlineStr">
        <is>
          <t>Plano Pro</t>
        </is>
      </c>
      <c r="D5" s="22" t="n">
        <v>58</v>
      </c>
      <c r="E5" s="23" t="n">
        <v>28942</v>
      </c>
    </row>
    <row r="6">
      <c r="A6" s="10" t="inlineStr">
        <is>
          <t>2026-01</t>
        </is>
      </c>
      <c r="B6" s="10" t="inlineStr">
        <is>
          <t>Nordeste</t>
        </is>
      </c>
      <c r="C6" s="10" t="inlineStr">
        <is>
          <t>Plano Basico</t>
        </is>
      </c>
      <c r="D6" s="22" t="n">
        <v>43</v>
      </c>
      <c r="E6" s="23" t="n">
        <v>8557</v>
      </c>
    </row>
    <row r="7">
      <c r="A7" s="10" t="inlineStr">
        <is>
          <t>2026-01</t>
        </is>
      </c>
      <c r="B7" s="10" t="inlineStr">
        <is>
          <t>Nordeste</t>
        </is>
      </c>
      <c r="C7" s="10" t="inlineStr">
        <is>
          <t>Plano Pro</t>
        </is>
      </c>
      <c r="D7" s="22" t="n">
        <v>48</v>
      </c>
      <c r="E7" s="23" t="n">
        <v>23952</v>
      </c>
    </row>
    <row r="8">
      <c r="A8" s="10" t="inlineStr">
        <is>
          <t>2026-02</t>
        </is>
      </c>
      <c r="B8" s="10" t="inlineStr">
        <is>
          <t>Sul</t>
        </is>
      </c>
      <c r="C8" s="10" t="inlineStr">
        <is>
          <t>Plano Basico</t>
        </is>
      </c>
      <c r="D8" s="22" t="n">
        <v>47</v>
      </c>
      <c r="E8" s="23" t="n">
        <v>9353</v>
      </c>
    </row>
    <row r="9">
      <c r="A9" s="10" t="inlineStr">
        <is>
          <t>2026-02</t>
        </is>
      </c>
      <c r="B9" s="10" t="inlineStr">
        <is>
          <t>Sul</t>
        </is>
      </c>
      <c r="C9" s="10" t="inlineStr">
        <is>
          <t>Plano Pro</t>
        </is>
      </c>
      <c r="D9" s="22" t="n">
        <v>52</v>
      </c>
      <c r="E9" s="23" t="n">
        <v>25948</v>
      </c>
    </row>
    <row r="10">
      <c r="A10" s="10" t="inlineStr">
        <is>
          <t>2026-02</t>
        </is>
      </c>
      <c r="B10" s="10" t="inlineStr">
        <is>
          <t>Sudeste</t>
        </is>
      </c>
      <c r="C10" s="10" t="inlineStr">
        <is>
          <t>Plano Basico</t>
        </is>
      </c>
      <c r="D10" s="22" t="n">
        <v>60</v>
      </c>
      <c r="E10" s="23" t="n">
        <v>11940</v>
      </c>
    </row>
    <row r="11">
      <c r="A11" s="10" t="inlineStr">
        <is>
          <t>2026-02</t>
        </is>
      </c>
      <c r="B11" s="10" t="inlineStr">
        <is>
          <t>Sudeste</t>
        </is>
      </c>
      <c r="C11" s="10" t="inlineStr">
        <is>
          <t>Plano Pro</t>
        </is>
      </c>
      <c r="D11" s="22" t="n">
        <v>42</v>
      </c>
      <c r="E11" s="23" t="n">
        <v>20958</v>
      </c>
    </row>
    <row r="12">
      <c r="A12" s="10" t="inlineStr">
        <is>
          <t>2026-02</t>
        </is>
      </c>
      <c r="B12" s="10" t="inlineStr">
        <is>
          <t>Nordeste</t>
        </is>
      </c>
      <c r="C12" s="10" t="inlineStr">
        <is>
          <t>Plano Basico</t>
        </is>
      </c>
      <c r="D12" s="22" t="n">
        <v>50</v>
      </c>
      <c r="E12" s="23" t="n">
        <v>9950</v>
      </c>
    </row>
    <row r="13">
      <c r="A13" s="10" t="inlineStr">
        <is>
          <t>2026-02</t>
        </is>
      </c>
      <c r="B13" s="10" t="inlineStr">
        <is>
          <t>Nordeste</t>
        </is>
      </c>
      <c r="C13" s="10" t="inlineStr">
        <is>
          <t>Plano Pro</t>
        </is>
      </c>
      <c r="D13" s="22" t="n">
        <v>55</v>
      </c>
      <c r="E13" s="23" t="n">
        <v>27445</v>
      </c>
    </row>
    <row r="14">
      <c r="A14" s="10" t="inlineStr">
        <is>
          <t>2026-03</t>
        </is>
      </c>
      <c r="B14" s="10" t="inlineStr">
        <is>
          <t>Sul</t>
        </is>
      </c>
      <c r="C14" s="10" t="inlineStr">
        <is>
          <t>Plano Basico</t>
        </is>
      </c>
      <c r="D14" s="22" t="n">
        <v>54</v>
      </c>
      <c r="E14" s="23" t="n">
        <v>10746</v>
      </c>
    </row>
    <row r="15">
      <c r="A15" s="10" t="inlineStr">
        <is>
          <t>2026-03</t>
        </is>
      </c>
      <c r="B15" s="10" t="inlineStr">
        <is>
          <t>Sul</t>
        </is>
      </c>
      <c r="C15" s="10" t="inlineStr">
        <is>
          <t>Plano Pro</t>
        </is>
      </c>
      <c r="D15" s="22" t="n">
        <v>59</v>
      </c>
      <c r="E15" s="23" t="n">
        <v>29441</v>
      </c>
    </row>
    <row r="16">
      <c r="A16" s="10" t="inlineStr">
        <is>
          <t>2026-03</t>
        </is>
      </c>
      <c r="B16" s="10" t="inlineStr">
        <is>
          <t>Sudeste</t>
        </is>
      </c>
      <c r="C16" s="10" t="inlineStr">
        <is>
          <t>Plano Basico</t>
        </is>
      </c>
      <c r="D16" s="22" t="n">
        <v>44</v>
      </c>
      <c r="E16" s="23" t="n">
        <v>8756</v>
      </c>
    </row>
    <row r="17">
      <c r="A17" s="10" t="inlineStr">
        <is>
          <t>2026-03</t>
        </is>
      </c>
      <c r="B17" s="10" t="inlineStr">
        <is>
          <t>Sudeste</t>
        </is>
      </c>
      <c r="C17" s="10" t="inlineStr">
        <is>
          <t>Plano Pro</t>
        </is>
      </c>
      <c r="D17" s="22" t="n">
        <v>49</v>
      </c>
      <c r="E17" s="23" t="n">
        <v>24451</v>
      </c>
    </row>
    <row r="18">
      <c r="A18" s="10" t="inlineStr">
        <is>
          <t>2026-03</t>
        </is>
      </c>
      <c r="B18" s="10" t="inlineStr">
        <is>
          <t>Nordeste</t>
        </is>
      </c>
      <c r="C18" s="10" t="inlineStr">
        <is>
          <t>Plano Basico</t>
        </is>
      </c>
      <c r="D18" s="22" t="n">
        <v>57</v>
      </c>
      <c r="E18" s="23" t="n">
        <v>11343</v>
      </c>
    </row>
    <row r="19">
      <c r="A19" s="10" t="inlineStr">
        <is>
          <t>2026-03</t>
        </is>
      </c>
      <c r="B19" s="10" t="inlineStr">
        <is>
          <t>Nordeste</t>
        </is>
      </c>
      <c r="C19" s="10" t="inlineStr">
        <is>
          <t>Plano Pro</t>
        </is>
      </c>
      <c r="D19" s="22" t="n">
        <v>62</v>
      </c>
      <c r="E19" s="23" t="n">
        <v>30938</v>
      </c>
    </row>
    <row r="20">
      <c r="A20" s="10" t="inlineStr">
        <is>
          <t>2026-04</t>
        </is>
      </c>
      <c r="B20" s="10" t="inlineStr">
        <is>
          <t>Sul</t>
        </is>
      </c>
      <c r="C20" s="10" t="inlineStr">
        <is>
          <t>Plano Basico</t>
        </is>
      </c>
      <c r="D20" s="22" t="n">
        <v>61</v>
      </c>
      <c r="E20" s="23" t="n">
        <v>12139</v>
      </c>
    </row>
    <row r="21">
      <c r="A21" s="10" t="inlineStr">
        <is>
          <t>2026-04</t>
        </is>
      </c>
      <c r="B21" s="10" t="inlineStr">
        <is>
          <t>Sul</t>
        </is>
      </c>
      <c r="C21" s="10" t="inlineStr">
        <is>
          <t>Plano Pro</t>
        </is>
      </c>
      <c r="D21" s="22" t="n">
        <v>43</v>
      </c>
      <c r="E21" s="23" t="n">
        <v>21457</v>
      </c>
    </row>
    <row r="22">
      <c r="A22" s="10" t="inlineStr">
        <is>
          <t>2026-04</t>
        </is>
      </c>
      <c r="B22" s="10" t="inlineStr">
        <is>
          <t>Sudeste</t>
        </is>
      </c>
      <c r="C22" s="10" t="inlineStr">
        <is>
          <t>Plano Basico</t>
        </is>
      </c>
      <c r="D22" s="22" t="n">
        <v>51</v>
      </c>
      <c r="E22" s="23" t="n">
        <v>10149</v>
      </c>
    </row>
    <row r="23">
      <c r="A23" s="10" t="inlineStr">
        <is>
          <t>2026-04</t>
        </is>
      </c>
      <c r="B23" s="10" t="inlineStr">
        <is>
          <t>Sudeste</t>
        </is>
      </c>
      <c r="C23" s="10" t="inlineStr">
        <is>
          <t>Plano Pro</t>
        </is>
      </c>
      <c r="D23" s="22" t="n">
        <v>56</v>
      </c>
      <c r="E23" s="23" t="n">
        <v>27944</v>
      </c>
    </row>
    <row r="24">
      <c r="A24" s="10" t="inlineStr">
        <is>
          <t>2026-04</t>
        </is>
      </c>
      <c r="B24" s="10" t="inlineStr">
        <is>
          <t>Nordeste</t>
        </is>
      </c>
      <c r="C24" s="10" t="inlineStr">
        <is>
          <t>Plano Basico</t>
        </is>
      </c>
      <c r="D24" s="22" t="n">
        <v>41</v>
      </c>
      <c r="E24" s="23" t="n">
        <v>8159</v>
      </c>
    </row>
    <row r="25">
      <c r="A25" s="10" t="inlineStr">
        <is>
          <t>2026-04</t>
        </is>
      </c>
      <c r="B25" s="10" t="inlineStr">
        <is>
          <t>Nordeste</t>
        </is>
      </c>
      <c r="C25" s="10" t="inlineStr">
        <is>
          <t>Plano Pro</t>
        </is>
      </c>
      <c r="D25" s="22" t="n">
        <v>46</v>
      </c>
      <c r="E25" s="23" t="n">
        <v>22954</v>
      </c>
    </row>
    <row r="26">
      <c r="A26" s="10" t="inlineStr">
        <is>
          <t>2026-05</t>
        </is>
      </c>
      <c r="B26" s="10" t="inlineStr">
        <is>
          <t>Sul</t>
        </is>
      </c>
      <c r="C26" s="10" t="inlineStr">
        <is>
          <t>Plano Basico</t>
        </is>
      </c>
      <c r="D26" s="22" t="n">
        <v>45</v>
      </c>
      <c r="E26" s="23" t="n">
        <v>8955</v>
      </c>
    </row>
    <row r="27">
      <c r="A27" s="10" t="inlineStr">
        <is>
          <t>2026-05</t>
        </is>
      </c>
      <c r="B27" s="10" t="inlineStr">
        <is>
          <t>Sul</t>
        </is>
      </c>
      <c r="C27" s="10" t="inlineStr">
        <is>
          <t>Plano Pro</t>
        </is>
      </c>
      <c r="D27" s="22" t="n">
        <v>50</v>
      </c>
      <c r="E27" s="23" t="n">
        <v>24950</v>
      </c>
    </row>
    <row r="28">
      <c r="A28" s="10" t="inlineStr">
        <is>
          <t>2026-05</t>
        </is>
      </c>
      <c r="B28" s="10" t="inlineStr">
        <is>
          <t>Sudeste</t>
        </is>
      </c>
      <c r="C28" s="10" t="inlineStr">
        <is>
          <t>Plano Basico</t>
        </is>
      </c>
      <c r="D28" s="22" t="n">
        <v>58</v>
      </c>
      <c r="E28" s="23" t="n">
        <v>11542</v>
      </c>
    </row>
    <row r="29">
      <c r="A29" s="10" t="inlineStr">
        <is>
          <t>2026-05</t>
        </is>
      </c>
      <c r="B29" s="10" t="inlineStr">
        <is>
          <t>Sudeste</t>
        </is>
      </c>
      <c r="C29" s="10" t="inlineStr">
        <is>
          <t>Plano Pro</t>
        </is>
      </c>
      <c r="D29" s="22" t="n">
        <v>40</v>
      </c>
      <c r="E29" s="23" t="n">
        <v>19960</v>
      </c>
    </row>
    <row r="30">
      <c r="A30" s="10" t="inlineStr">
        <is>
          <t>2026-05</t>
        </is>
      </c>
      <c r="B30" s="10" t="inlineStr">
        <is>
          <t>Nordeste</t>
        </is>
      </c>
      <c r="C30" s="10" t="inlineStr">
        <is>
          <t>Plano Basico</t>
        </is>
      </c>
      <c r="D30" s="22" t="n">
        <v>48</v>
      </c>
      <c r="E30" s="23" t="n">
        <v>9552</v>
      </c>
    </row>
    <row r="31">
      <c r="A31" s="10" t="inlineStr">
        <is>
          <t>2026-05</t>
        </is>
      </c>
      <c r="B31" s="10" t="inlineStr">
        <is>
          <t>Nordeste</t>
        </is>
      </c>
      <c r="C31" s="10" t="inlineStr">
        <is>
          <t>Plano Pro</t>
        </is>
      </c>
      <c r="D31" s="22" t="n">
        <v>53</v>
      </c>
      <c r="E31" s="23" t="n">
        <v>26447</v>
      </c>
    </row>
    <row r="32">
      <c r="A32" s="10" t="inlineStr">
        <is>
          <t>2026-06</t>
        </is>
      </c>
      <c r="B32" s="10" t="inlineStr">
        <is>
          <t>Sul</t>
        </is>
      </c>
      <c r="C32" s="10" t="inlineStr">
        <is>
          <t>Plano Basico</t>
        </is>
      </c>
      <c r="D32" s="22" t="n">
        <v>52</v>
      </c>
      <c r="E32" s="23" t="n">
        <v>10348</v>
      </c>
    </row>
    <row r="33">
      <c r="A33" s="10" t="inlineStr">
        <is>
          <t>2026-06</t>
        </is>
      </c>
      <c r="B33" s="10" t="inlineStr">
        <is>
          <t>Sul</t>
        </is>
      </c>
      <c r="C33" s="10" t="inlineStr">
        <is>
          <t>Plano Pro</t>
        </is>
      </c>
      <c r="D33" s="22" t="n">
        <v>57</v>
      </c>
      <c r="E33" s="23" t="n">
        <v>28443</v>
      </c>
    </row>
    <row r="34">
      <c r="A34" s="10" t="inlineStr">
        <is>
          <t>2026-06</t>
        </is>
      </c>
      <c r="B34" s="10" t="inlineStr">
        <is>
          <t>Sudeste</t>
        </is>
      </c>
      <c r="C34" s="10" t="inlineStr">
        <is>
          <t>Plano Basico</t>
        </is>
      </c>
      <c r="D34" s="22" t="n">
        <v>42</v>
      </c>
      <c r="E34" s="23" t="n">
        <v>8358</v>
      </c>
    </row>
    <row r="35">
      <c r="A35" s="10" t="inlineStr">
        <is>
          <t>2026-06</t>
        </is>
      </c>
      <c r="B35" s="10" t="inlineStr">
        <is>
          <t>Sudeste</t>
        </is>
      </c>
      <c r="C35" s="10" t="inlineStr">
        <is>
          <t>Plano Pro</t>
        </is>
      </c>
      <c r="D35" s="22" t="n">
        <v>47</v>
      </c>
      <c r="E35" s="23" t="n">
        <v>23453</v>
      </c>
    </row>
    <row r="36">
      <c r="A36" s="10" t="inlineStr">
        <is>
          <t>2026-06</t>
        </is>
      </c>
      <c r="B36" s="10" t="inlineStr">
        <is>
          <t>Nordeste</t>
        </is>
      </c>
      <c r="C36" s="10" t="inlineStr">
        <is>
          <t>Plano Basico</t>
        </is>
      </c>
      <c r="D36" s="22" t="n">
        <v>55</v>
      </c>
      <c r="E36" s="23" t="n">
        <v>10945</v>
      </c>
    </row>
    <row r="37">
      <c r="A37" s="10" t="inlineStr">
        <is>
          <t>2026-06</t>
        </is>
      </c>
      <c r="B37" s="10" t="inlineStr">
        <is>
          <t>Nordeste</t>
        </is>
      </c>
      <c r="C37" s="10" t="inlineStr">
        <is>
          <t>Plano Pro</t>
        </is>
      </c>
      <c r="D37" s="22" t="n">
        <v>60</v>
      </c>
      <c r="E37" s="23" t="n">
        <v>29940</v>
      </c>
    </row>
    <row r="38">
      <c r="A38" s="24" t="inlineStr">
        <is>
          <t>Total</t>
        </is>
      </c>
      <c r="D38" s="25">
        <f>SUM(D2:D37)</f>
        <v/>
      </c>
      <c r="E38" s="26">
        <f>SUM(E2:E37)</f>
        <v/>
      </c>
    </row>
  </sheetData>
  <autoFilter ref="A1:E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2026-10-27T13:30:36Z</dcterms:created>
  <dcterms:modified xmlns:dcterms="http://purl.org/dc/terms/" xmlns:xsi="http://www.w3.org/2001/XMLSchema-instance" xsi:type="dcterms:W3CDTF">2026-10-27T13:30:36Z</dcterms:modified>
</cp:coreProperties>
</file>