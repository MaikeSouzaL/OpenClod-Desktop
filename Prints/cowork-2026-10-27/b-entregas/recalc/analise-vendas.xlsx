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Dados" sheetId="2" state="visible" r:id="rId4"/>
  </sheets>
  <definedNames>
    <definedName function="false" hidden="true" localSheetId="1" name="_xlnm._FilterDatabase" vbProcedure="false">Dados!$A$1:$E$37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<sst xmlns="http://schemas.openxmlformats.org/spreadsheetml/2006/main" count="157" uniqueCount="48">
  <si>
    <t xml:space="preserve">Análise de Vendas — 1º Semestre 2026</t>
  </si>
  <si>
    <t xml:space="preserve">Base: vendas_2026.csv (36 registros) e metas.txt  ·  Todos os totais desta aba são fórmulas que leem a aba Dados  ·  Preparado pela Equipe Alfa</t>
  </si>
  <si>
    <t xml:space="preserve">1. Receita, média mensal e atingimento da meta por região</t>
  </si>
  <si>
    <t xml:space="preserve">Região</t>
  </si>
  <si>
    <t xml:space="preserve">Receita total</t>
  </si>
  <si>
    <t xml:space="preserve">Unidades</t>
  </si>
  <si>
    <t xml:space="preserve">Média mensal</t>
  </si>
  <si>
    <t xml:space="preserve">Meta da região</t>
  </si>
  <si>
    <t xml:space="preserve">Atingimento</t>
  </si>
  <si>
    <t xml:space="preserve">Situação</t>
  </si>
  <si>
    <t xml:space="preserve">Sul</t>
  </si>
  <si>
    <t xml:space="preserve">Sudeste</t>
  </si>
  <si>
    <t xml:space="preserve">Nordeste</t>
  </si>
  <si>
    <t xml:space="preserve">Total</t>
  </si>
  <si>
    <t xml:space="preserve">2. Evolução mensal</t>
  </si>
  <si>
    <t xml:space="preserve">Mês</t>
  </si>
  <si>
    <t xml:space="preserve">Receita</t>
  </si>
  <si>
    <t xml:space="preserve">Ticket médio</t>
  </si>
  <si>
    <t xml:space="preserve">% do semestre</t>
  </si>
  <si>
    <t xml:space="preserve">Código (apoio)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</si>
  <si>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</si>
  <si>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</si>
  <si>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</si>
  <si>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</si>
  <si>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</si>
  <si>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</si>
  <si>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 do semestre</t>
  </si>
  <si>
    <t xml:space="preserve">3. Indicadores gerais</t>
  </si>
  <si>
    <t xml:space="preserve">Receita total do semestre</t>
  </si>
  <si>
    <t xml:space="preserve">Meta total do semestre</t>
  </si>
  <si>
    <t xml:space="preserve">Atingimento da meta</t>
  </si>
  <si>
    <t xml:space="preserve">Média mensal de receita</t>
  </si>
  <si>
    <t xml:space="preserve">Unidades vendidas</t>
  </si>
  <si>
    <t xml:space="preserve">Região com maior atingimento</t>
  </si>
  <si>
    <t xml:space="preserve">Região com menor atingimento</t>
  </si>
  <si>
    <t xml:space="preserve">4. Conferência entre abas</t>
  </si>
  <si>
    <t xml:space="preserve">Soma da aba Dados</t>
  </si>
  <si>
    <t xml:space="preserve">Soma do Resumo</t>
  </si>
  <si>
    <t xml:space="preserve">Diferença</t>
  </si>
  <si>
    <t xml:space="preserve">Situação da conferência</t>
  </si>
  <si>
    <t xml:space="preserve">Notas: a meta por região é premissa informada em metas.txt; a média mensal usa a quantidade de meses distintos presentes na aba Dados (6); o ticket médio é receita ÷ unidades. Valores em reais.</t>
  </si>
  <si>
    <t xml:space="preserve">mes</t>
  </si>
  <si>
    <t xml:space="preserve">regiao</t>
  </si>
  <si>
    <t xml:space="preserve">produto</t>
  </si>
  <si>
    <t xml:space="preserve">unidades</t>
  </si>
  <si>
    <t xml:space="preserve">receita</t>
  </si>
  <si>
    <t xml:space="preserve">Plano Basico</t>
  </si>
  <si>
    <t xml:space="preserve">Plano Pro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</si>
</sst>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8.5"/>
      <color rgb="FF59595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CE7F3"/>
        <bgColor rgb="FFE2EFDA"/>
      </patternFill>
    </fill>
    <fill>
      <patternFill patternType="solid">
        <fgColor rgb="FFD9D9D9"/>
        <bgColor rgb="FFDCE7F3"/>
      </patternFill>
    </fill>
    <fill>
      <patternFill patternType="solid">
        <fgColor rgb="FFEAF1F9"/>
        <bgColor rgb="FFDCE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1E7B34"/>
      </font>
      <fill>
        <patternFill>
          <bgColor rgb="FFE2EFDA"/>
        </patternFill>
      </fill>
    </dxf>
    <dxf>
      <font>
        <b val="1"/>
        <color rgb="FFB01F1F"/>
      </font>
      <fill>
        <patternFill>
          <bgColor rgb="FFFCE4E4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EAF1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F3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0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Vendas" displayName="Vendas" ref="A1:E37" headerRowCount="1" totalsRowCount="0" totalsRowShown="0">
  <autoFilter ref="A1:E37"/>
  <tableColumns count="5">
    <tableColumn id="1" name="mes"/>
    <tableColumn id="2" name="regiao"/>
    <tableColumn id="3" name="produto"/>
    <tableColumn id="4" name="unidades"/>
    <tableColumn id="5" name="recei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true" outlineLevel="0" max="7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n">
        <f aca="false">SUMIF(Dados!$B$2:$B$37,$A6,Dados!$E$2:$E$37)</f>
        <v>212195</v>
      </c>
      <c r="C6" s="8" t="n">
        <f aca="false">SUMIF(Dados!$B$2:$B$37,$A6,Dados!$D$2:$D$37)</f>
        <v>605</v>
      </c>
      <c r="D6" s="7" t="n">
        <f aca="false">IFERROR(B6/SUMPRODUCT((Dados!$B$2:$B$37=$A6)/COUNTIFS(Dados!$A$2:$A$37,Dados!$A$2:$A$37,Dados!$B$2:$B$37,Dados!$B$2:$B$37)),"")</f>
        <v>35365.8333333333</v>
      </c>
      <c r="E6" s="7" t="n">
        <v>150000</v>
      </c>
      <c r="F6" s="9" t="n">
        <f aca="false">IFERROR(B6/E6,"")</f>
        <v>1.41463333333333</v>
      </c>
      <c r="G6" s="10" t="str">
        <f aca="false">IF(F6="","",IF(F6&gt;=1,"Meta atingida","Abaixo da meta"))</f>
        <v>Meta atingida</v>
      </c>
    </row>
    <row r="7" customFormat="false" ht="15" hidden="false" customHeight="false" outlineLevel="0" collapsed="false">
      <c r="A7" s="6" t="s">
        <v>11</v>
      </c>
      <c r="B7" s="7" t="n">
        <f aca="false">SUMIF(Dados!$B$2:$B$37,$A7,Dados!$E$2:$E$37)</f>
        <v>207000</v>
      </c>
      <c r="C7" s="8" t="n">
        <f aca="false">SUMIF(Dados!$B$2:$B$37,$A7,Dados!$D$2:$D$37)</f>
        <v>600</v>
      </c>
      <c r="D7" s="7" t="n">
        <f aca="false">IFERROR(B7/SUMPRODUCT((Dados!$B$2:$B$37=$A7)/COUNTIFS(Dados!$A$2:$A$37,Dados!$A$2:$A$37,Dados!$B$2:$B$37,Dados!$B$2:$B$37)),"")</f>
        <v>34500</v>
      </c>
      <c r="E7" s="7" t="n">
        <v>200000</v>
      </c>
      <c r="F7" s="9" t="n">
        <f aca="false">IFERROR(B7/E7,"")</f>
        <v>1.035</v>
      </c>
      <c r="G7" s="10" t="str">
        <f aca="false">IF(F7="","",IF(F7&gt;=1,"Meta atingida","Abaixo da meta"))</f>
        <v>Meta atingida</v>
      </c>
    </row>
    <row r="8" customFormat="false" ht="15" hidden="false" customHeight="false" outlineLevel="0" collapsed="false">
      <c r="A8" s="6" t="s">
        <v>12</v>
      </c>
      <c r="B8" s="7" t="n">
        <f aca="false">SUMIF(Dados!$B$2:$B$37,$A8,Dados!$E$2:$E$37)</f>
        <v>220182</v>
      </c>
      <c r="C8" s="8" t="n">
        <f aca="false">SUMIF(Dados!$B$2:$B$37,$A8,Dados!$D$2:$D$37)</f>
        <v>618</v>
      </c>
      <c r="D8" s="7" t="n">
        <f aca="false">IFERROR(B8/SUMPRODUCT((Dados!$B$2:$B$37=$A8)/COUNTIFS(Dados!$A$2:$A$37,Dados!$A$2:$A$37,Dados!$B$2:$B$37,Dados!$B$2:$B$37)),"")</f>
        <v>36697</v>
      </c>
      <c r="E8" s="7" t="n">
        <v>130000</v>
      </c>
      <c r="F8" s="9" t="n">
        <f aca="false">IFERROR(B8/E8,"")</f>
        <v>1.69370769230769</v>
      </c>
      <c r="G8" s="10" t="str">
        <f aca="false">IF(F8="","",IF(F8&gt;=1,"Meta atingida","Abaixo da meta"))</f>
        <v>Meta atingida</v>
      </c>
    </row>
    <row r="9" customFormat="false" ht="15" hidden="false" customHeight="false" outlineLevel="0" collapsed="false">
      <c r="A9" s="11" t="s">
        <v>13</v>
      </c>
      <c r="B9" s="12" t="n">
        <f aca="false">SUM(B6:B8)</f>
        <v>639377</v>
      </c>
      <c r="C9" s="13" t="n">
        <f aca="false">SUM(C6:C8)</f>
        <v>1823</v>
      </c>
      <c r="D9" s="12" t="n">
        <f aca="false">IFERROR(B9/SUMPRODUCT(1/COUNTIF(Dados!$A$2:$A$37,Dados!$A$2:$A$37)),"")</f>
        <v>106562.833333333</v>
      </c>
      <c r="E9" s="12" t="n">
        <f aca="false">SUM(E6:E8)</f>
        <v>480000</v>
      </c>
      <c r="F9" s="14" t="n">
        <f aca="false">IFERROR(B9/E9,"")</f>
        <v>1.33203541666667</v>
      </c>
      <c r="G9" s="11" t="str">
        <f aca="false">IF(F9&gt;=1,"Meta atingida","Abaixo da meta")</f>
        <v>Meta atingida</v>
      </c>
    </row>
    <row r="11" customFormat="false" ht="15" hidden="false" customHeight="false" outlineLevel="0" collapsed="false">
      <c r="A11" s="3" t="s">
        <v>14</v>
      </c>
      <c r="B11" s="3"/>
      <c r="C11" s="3"/>
      <c r="D11" s="3"/>
      <c r="E11" s="3"/>
      <c r="F11" s="3"/>
      <c r="G11" s="3"/>
    </row>
    <row r="12" customFormat="false" ht="25.5" hidden="false" customHeight="true" outlineLevel="0" collapsed="false">
      <c r="A12" s="4" t="s">
        <v>15</v>
      </c>
      <c r="B12" s="5" t="s">
        <v>16</v>
      </c>
      <c r="C12" s="5" t="s">
        <v>5</v>
      </c>
      <c r="D12" s="5" t="s">
        <v>17</v>
      </c>
      <c r="E12" s="5" t="s">
        <v>18</v>
      </c>
      <c r="F12" s="5"/>
      <c r="G12" s="15" t="s">
        <v>19</v>
      </c>
    </row>
    <row r="13" customFormat="false" ht="15" hidden="false" customHeight="false" outlineLevel="0" collapsed="false">
      <c r="A13" s="10" t="str">
        <f aca="false">CHOOSE(VALUE(RIGHT($G13,2)),"Jan","Fev","Mar","Abr","Mai","Jun","Jul","Ago","Set","Out","Nov","Dez")&amp;"/"&amp;LEFT($G13,4)</f>
        <v>Jan/2026</v>
      </c>
      <c r="B13" s="7" t="n">
        <f aca="false">SUMIF(Dados!$A$2:$A$37,$G13,Dados!$E$2:$E$37)</f>
        <v>102413</v>
      </c>
      <c r="C13" s="8" t="n">
        <f aca="false">SUMIF(Dados!$A$2:$A$37,$G13,Dados!$D$2:$D$37)</f>
        <v>287</v>
      </c>
      <c r="D13" s="7" t="n">
        <f aca="false">IFERROR(B13/C13,"")</f>
        <v>356.839721254355</v>
      </c>
      <c r="E13" s="9" t="n">
        <f aca="false">IFERROR(B13/$B$19,"")</f>
        <v>0.160176234052836</v>
      </c>
      <c r="G13" s="0" t="s">
        <v>20</v>
      </c>
    </row>
    <row r="14" customFormat="false" ht="15" hidden="false" customHeight="false" outlineLevel="0" collapsed="false">
      <c r="A14" s="10" t="str">
        <f aca="false">CHOOSE(VALUE(RIGHT($G14,2)),"Jan","Fev","Mar","Abr","Mai","Jun","Jul","Ago","Set","Out","Nov","Dez")&amp;"/"&amp;LEFT($G14,4)</f>
        <v>Fev/2026</v>
      </c>
      <c r="B14" s="7" t="n">
        <f aca="false">SUMIF(Dados!$A$2:$A$37,$G14,Dados!$E$2:$E$37)</f>
        <v>105594</v>
      </c>
      <c r="C14" s="8" t="n">
        <f aca="false">SUMIF(Dados!$A$2:$A$37,$G14,Dados!$D$2:$D$37)</f>
        <v>306</v>
      </c>
      <c r="D14" s="7" t="n">
        <f aca="false">IFERROR(B14/C14,"")</f>
        <v>345.078431372549</v>
      </c>
      <c r="E14" s="9" t="n">
        <f aca="false">IFERROR(B14/$B$19,"")</f>
        <v>0.165151389555771</v>
      </c>
      <c r="G14" s="0" t="s">
        <v>21</v>
      </c>
    </row>
    <row r="15" customFormat="false" ht="15" hidden="false" customHeight="false" outlineLevel="0" collapsed="false">
      <c r="A15" s="10" t="str">
        <f aca="false">CHOOSE(VALUE(RIGHT($G15,2)),"Jan","Fev","Mar","Abr","Mai","Jun","Jul","Ago","Set","Out","Nov","Dez")&amp;"/"&amp;LEFT($G15,4)</f>
        <v>Mar/2026</v>
      </c>
      <c r="B15" s="7" t="n">
        <f aca="false">SUMIF(Dados!$A$2:$A$37,$G15,Dados!$E$2:$E$37)</f>
        <v>115675</v>
      </c>
      <c r="C15" s="8" t="n">
        <f aca="false">SUMIF(Dados!$A$2:$A$37,$G15,Dados!$D$2:$D$37)</f>
        <v>325</v>
      </c>
      <c r="D15" s="7" t="n">
        <f aca="false">IFERROR(B15/C15,"")</f>
        <v>355.923076923077</v>
      </c>
      <c r="E15" s="9" t="n">
        <f aca="false">IFERROR(B15/$B$19,"")</f>
        <v>0.18091830015781</v>
      </c>
      <c r="G15" s="0" t="s">
        <v>22</v>
      </c>
    </row>
    <row r="16" customFormat="false" ht="15" hidden="false" customHeight="false" outlineLevel="0" collapsed="false">
      <c r="A16" s="10" t="str">
        <f aca="false">CHOOSE(VALUE(RIGHT($G16,2)),"Jan","Fev","Mar","Abr","Mai","Jun","Jul","Ago","Set","Out","Nov","Dez")&amp;"/"&amp;LEFT($G16,4)</f>
        <v>Abr/2026</v>
      </c>
      <c r="B16" s="7" t="n">
        <f aca="false">SUMIF(Dados!$A$2:$A$37,$G16,Dados!$E$2:$E$37)</f>
        <v>102802</v>
      </c>
      <c r="C16" s="8" t="n">
        <f aca="false">SUMIF(Dados!$A$2:$A$37,$G16,Dados!$D$2:$D$37)</f>
        <v>298</v>
      </c>
      <c r="D16" s="7" t="n">
        <f aca="false">IFERROR(B16/C16,"")</f>
        <v>344.973154362416</v>
      </c>
      <c r="E16" s="9" t="n">
        <f aca="false">IFERROR(B16/$B$19,"")</f>
        <v>0.160784638796829</v>
      </c>
      <c r="G16" s="0" t="s">
        <v>23</v>
      </c>
    </row>
    <row r="17" customFormat="false" ht="15" hidden="false" customHeight="false" outlineLevel="0" collapsed="false">
      <c r="A17" s="10" t="str">
        <f aca="false">CHOOSE(VALUE(RIGHT($G17,2)),"Jan","Fev","Mar","Abr","Mai","Jun","Jul","Ago","Set","Out","Nov","Dez")&amp;"/"&amp;LEFT($G17,4)</f>
        <v>Mai/2026</v>
      </c>
      <c r="B17" s="7" t="n">
        <f aca="false">SUMIF(Dados!$A$2:$A$37,$G17,Dados!$E$2:$E$37)</f>
        <v>101406</v>
      </c>
      <c r="C17" s="8" t="n">
        <f aca="false">SUMIF(Dados!$A$2:$A$37,$G17,Dados!$D$2:$D$37)</f>
        <v>294</v>
      </c>
      <c r="D17" s="7" t="n">
        <f aca="false">IFERROR(B17/C17,"")</f>
        <v>344.918367346939</v>
      </c>
      <c r="E17" s="9" t="n">
        <f aca="false">IFERROR(B17/$B$19,"")</f>
        <v>0.158601263417358</v>
      </c>
      <c r="G17" s="0" t="s">
        <v>24</v>
      </c>
    </row>
    <row r="18" customFormat="false" ht="15" hidden="false" customHeight="false" outlineLevel="0" collapsed="false">
      <c r="A18" s="10" t="str">
        <f aca="false">CHOOSE(VALUE(RIGHT($G18,2)),"Jan","Fev","Mar","Abr","Mai","Jun","Jul","Ago","Set","Out","Nov","Dez")&amp;"/"&amp;LEFT($G18,4)</f>
        <v>Jun/2026</v>
      </c>
      <c r="B18" s="7" t="n">
        <f aca="false">SUMIF(Dados!$A$2:$A$37,$G18,Dados!$E$2:$E$37)</f>
        <v>111487</v>
      </c>
      <c r="C18" s="8" t="n">
        <f aca="false">SUMIF(Dados!$A$2:$A$37,$G18,Dados!$D$2:$D$37)</f>
        <v>313</v>
      </c>
      <c r="D18" s="7" t="n">
        <f aca="false">IFERROR(B18/C18,"")</f>
        <v>356.188498402556</v>
      </c>
      <c r="E18" s="9" t="n">
        <f aca="false">IFERROR(B18/$B$19,"")</f>
        <v>0.174368174019397</v>
      </c>
      <c r="G18" s="0" t="s">
        <v>25</v>
      </c>
    </row>
    <row r="19" customFormat="false" ht="15" hidden="false" customHeight="false" outlineLevel="0" collapsed="false">
      <c r="A19" s="11" t="s">
        <v>26</v>
      </c>
      <c r="B19" s="12" t="n">
        <f aca="false">SUM(B13:B18)</f>
        <v>639377</v>
      </c>
      <c r="C19" s="13" t="n">
        <f aca="false">SUM(C13:C18)</f>
        <v>1823</v>
      </c>
      <c r="D19" s="12" t="n">
        <f aca="false">IFERROR(B19/C19,"")</f>
        <v>350.727921009325</v>
      </c>
      <c r="E19" s="14" t="n">
        <f aca="false">SUM(E13:E18)</f>
        <v>1</v>
      </c>
    </row>
    <row r="21" customFormat="false" ht="15" hidden="false" customHeight="false" outlineLevel="0" collapsed="false">
      <c r="A21" s="3" t="s">
        <v>27</v>
      </c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16" t="s">
        <v>28</v>
      </c>
      <c r="B22" s="17" t="n">
        <f aca="false">B9</f>
        <v>639377</v>
      </c>
    </row>
    <row r="23" customFormat="false" ht="15" hidden="false" customHeight="false" outlineLevel="0" collapsed="false">
      <c r="A23" s="16" t="s">
        <v>29</v>
      </c>
      <c r="B23" s="17" t="n">
        <f aca="false">E9</f>
        <v>480000</v>
      </c>
    </row>
    <row r="24" customFormat="false" ht="15" hidden="false" customHeight="false" outlineLevel="0" collapsed="false">
      <c r="A24" s="16" t="s">
        <v>30</v>
      </c>
      <c r="B24" s="18" t="n">
        <f aca="false">F9</f>
        <v>1.33203541666667</v>
      </c>
    </row>
    <row r="25" customFormat="false" ht="15" hidden="false" customHeight="false" outlineLevel="0" collapsed="false">
      <c r="A25" s="16" t="s">
        <v>31</v>
      </c>
      <c r="B25" s="17" t="n">
        <f aca="false">B19/COUNTA(G13:G18)</f>
        <v>106562.833333333</v>
      </c>
    </row>
    <row r="26" customFormat="false" ht="15" hidden="false" customHeight="false" outlineLevel="0" collapsed="false">
      <c r="A26" s="16" t="s">
        <v>32</v>
      </c>
      <c r="B26" s="19" t="n">
        <f aca="false">C9</f>
        <v>1823</v>
      </c>
    </row>
    <row r="27" customFormat="false" ht="15" hidden="false" customHeight="false" outlineLevel="0" collapsed="false">
      <c r="A27" s="16" t="s">
        <v>17</v>
      </c>
      <c r="B27" s="17" t="n">
        <f aca="false">IFERROR(B9/C9,"")</f>
        <v>350.727921009325</v>
      </c>
    </row>
    <row r="28" customFormat="false" ht="15" hidden="false" customHeight="false" outlineLevel="0" collapsed="false">
      <c r="A28" s="16" t="s">
        <v>33</v>
      </c>
      <c r="B28" s="20" t="str">
        <f aca="false">INDEX(A6:A8,MATCH(MAX(F6:F8),F6:F8,0))</f>
        <v>Nordeste</v>
      </c>
    </row>
    <row r="29" customFormat="false" ht="15" hidden="false" customHeight="false" outlineLevel="0" collapsed="false">
      <c r="A29" s="16" t="s">
        <v>34</v>
      </c>
      <c r="B29" s="20" t="str">
        <f aca="false">INDEX(A6:A8,MATCH(MIN(F6:F8),F6:F8,0))</f>
        <v>Sudeste</v>
      </c>
    </row>
    <row r="31" customFormat="false" ht="15" hidden="false" customHeight="false" outlineLevel="0" collapsed="false">
      <c r="A31" s="3" t="s">
        <v>35</v>
      </c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16" t="s">
        <v>36</v>
      </c>
      <c r="B32" s="17" t="n">
        <f aca="false">SUM(Dados!E2:E37)</f>
        <v>639377</v>
      </c>
    </row>
    <row r="33" customFormat="false" ht="15" hidden="false" customHeight="false" outlineLevel="0" collapsed="false">
      <c r="A33" s="16" t="s">
        <v>37</v>
      </c>
      <c r="B33" s="17" t="n">
        <f aca="false">B9</f>
        <v>639377</v>
      </c>
    </row>
    <row r="34" customFormat="false" ht="15" hidden="false" customHeight="false" outlineLevel="0" collapsed="false">
      <c r="A34" s="16" t="s">
        <v>38</v>
      </c>
      <c r="B34" s="17" t="n">
        <f aca="false">B32-B33</f>
        <v>0</v>
      </c>
    </row>
    <row r="35" customFormat="false" ht="15" hidden="false" customHeight="false" outlineLevel="0" collapsed="false">
      <c r="A35" s="16" t="s">
        <v>39</v>
      </c>
      <c r="B35" s="20" t="str">
        <f aca="false">IF(ABS(B34)&lt;0.01,"OK — abas consistentes","Divergência")</f>
        <v>OK — abas consistentes</v>
      </c>
    </row>
    <row r="37" customFormat="false" ht="27.75" hidden="false" customHeight="true" outlineLevel="0" collapsed="false">
      <c r="A37" s="21" t="s">
        <v>40</v>
      </c>
      <c r="B37" s="21"/>
      <c r="C37" s="21"/>
      <c r="D37" s="21"/>
      <c r="E37" s="21"/>
      <c r="F37" s="21"/>
      <c r="G37" s="21"/>
    </row>
  </sheetData>
  <mergeCells count="7">
    <mergeCell ref="A1:G1"/>
    <mergeCell ref="A2:G2"/>
    <mergeCell ref="A4:G4"/>
    <mergeCell ref="A11:G11"/>
    <mergeCell ref="A21:G21"/>
    <mergeCell ref="A31:G31"/>
    <mergeCell ref="A37:G37"/>
  </mergeCells>
  <conditionalFormatting sqref="F6:F8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conditionalFormatting sqref="B13:B18">
    <cfRule type="dataBar" priority="4">
      <dataBar showValue="1" minLength="10" maxLength="90">
        <cfvo type="num" val="0"/>
        <cfvo type="num" val="125000"/>
        <color rgb="FF2E75B6"/>
      </dataBar>
      <extLst>
        <ext xmlns:x14="http://schemas.microsoft.com/office/spreadsheetml/2009/9/main" uri="{B025F937-C7B1-47D3-B67F-A62EFF666E3E}">
          <x14:id>{75DFB72C-EA42-428B-9934-9F9CAA945F9A}</x14:id>
        </ext>
      </extLst>
    </cfRule>
  </conditionalFormatting>
  <conditionalFormatting sqref="B35">
    <cfRule type="cellIs" priority="5" operator="equal" aboveAverage="0" equalAverage="0" bottom="0" percent="0" rank="0" text="" dxfId="0">
      <formula>"OK — abas consistentes"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DFB72C-EA42-428B-9934-9F9CAA945F9A}">
            <x14:dataBar minLength="10" maxLength="90" axisPosition="none" gradient="true">
              <x14:cfvo type="num">
                <xm:f>0</xm:f>
              </x14:cfvo>
              <x14:cfvo type="num">
                <xm:f>125000</xm:f>
              </x14:cfvo>
              <x14:negativeFillColor rgb="FF2E75B6"/>
              <x14:axisColor rgb="FF000000"/>
            </x14:dataBar>
          </x14:cfRule>
          <xm:sqref>B13:B18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" t="s">
        <v>41</v>
      </c>
      <c r="B1" s="5" t="s">
        <v>42</v>
      </c>
      <c r="C1" s="5" t="s">
        <v>43</v>
      </c>
      <c r="D1" s="5" t="s">
        <v>44</v>
      </c>
      <c r="E1" s="5" t="s">
        <v>45</v>
      </c>
    </row>
    <row r="2" customFormat="false" ht="15" hidden="false" customHeight="false" outlineLevel="0" collapsed="false">
      <c r="A2" s="10" t="s">
        <v>20</v>
      </c>
      <c r="B2" s="10" t="s">
        <v>10</v>
      </c>
      <c r="C2" s="10" t="s">
        <v>46</v>
      </c>
      <c r="D2" s="22" t="n">
        <v>40</v>
      </c>
      <c r="E2" s="23" t="n">
        <v>7960</v>
      </c>
    </row>
    <row r="3" customFormat="false" ht="15" hidden="false" customHeight="false" outlineLevel="0" collapsed="false">
      <c r="A3" s="10" t="s">
        <v>20</v>
      </c>
      <c r="B3" s="10" t="s">
        <v>10</v>
      </c>
      <c r="C3" s="10" t="s">
        <v>47</v>
      </c>
      <c r="D3" s="22" t="n">
        <v>45</v>
      </c>
      <c r="E3" s="23" t="n">
        <v>22455</v>
      </c>
    </row>
    <row r="4" customFormat="false" ht="15" hidden="false" customHeight="false" outlineLevel="0" collapsed="false">
      <c r="A4" s="10" t="s">
        <v>20</v>
      </c>
      <c r="B4" s="10" t="s">
        <v>11</v>
      </c>
      <c r="C4" s="10" t="s">
        <v>46</v>
      </c>
      <c r="D4" s="22" t="n">
        <v>53</v>
      </c>
      <c r="E4" s="23" t="n">
        <v>10547</v>
      </c>
    </row>
    <row r="5" customFormat="false" ht="15" hidden="false" customHeight="false" outlineLevel="0" collapsed="false">
      <c r="A5" s="10" t="s">
        <v>20</v>
      </c>
      <c r="B5" s="10" t="s">
        <v>11</v>
      </c>
      <c r="C5" s="10" t="s">
        <v>47</v>
      </c>
      <c r="D5" s="22" t="n">
        <v>58</v>
      </c>
      <c r="E5" s="23" t="n">
        <v>28942</v>
      </c>
    </row>
    <row r="6" customFormat="false" ht="15" hidden="false" customHeight="false" outlineLevel="0" collapsed="false">
      <c r="A6" s="10" t="s">
        <v>20</v>
      </c>
      <c r="B6" s="10" t="s">
        <v>12</v>
      </c>
      <c r="C6" s="10" t="s">
        <v>46</v>
      </c>
      <c r="D6" s="22" t="n">
        <v>43</v>
      </c>
      <c r="E6" s="23" t="n">
        <v>8557</v>
      </c>
    </row>
    <row r="7" customFormat="false" ht="15" hidden="false" customHeight="false" outlineLevel="0" collapsed="false">
      <c r="A7" s="10" t="s">
        <v>20</v>
      </c>
      <c r="B7" s="10" t="s">
        <v>12</v>
      </c>
      <c r="C7" s="10" t="s">
        <v>47</v>
      </c>
      <c r="D7" s="22" t="n">
        <v>48</v>
      </c>
      <c r="E7" s="23" t="n">
        <v>23952</v>
      </c>
    </row>
    <row r="8" customFormat="false" ht="15" hidden="false" customHeight="false" outlineLevel="0" collapsed="false">
      <c r="A8" s="10" t="s">
        <v>21</v>
      </c>
      <c r="B8" s="10" t="s">
        <v>10</v>
      </c>
      <c r="C8" s="10" t="s">
        <v>46</v>
      </c>
      <c r="D8" s="22" t="n">
        <v>47</v>
      </c>
      <c r="E8" s="23" t="n">
        <v>9353</v>
      </c>
    </row>
    <row r="9" customFormat="false" ht="15" hidden="false" customHeight="false" outlineLevel="0" collapsed="false">
      <c r="A9" s="10" t="s">
        <v>21</v>
      </c>
      <c r="B9" s="10" t="s">
        <v>10</v>
      </c>
      <c r="C9" s="10" t="s">
        <v>47</v>
      </c>
      <c r="D9" s="22" t="n">
        <v>52</v>
      </c>
      <c r="E9" s="23" t="n">
        <v>25948</v>
      </c>
    </row>
    <row r="10" customFormat="false" ht="15" hidden="false" customHeight="false" outlineLevel="0" collapsed="false">
      <c r="A10" s="10" t="s">
        <v>21</v>
      </c>
      <c r="B10" s="10" t="s">
        <v>11</v>
      </c>
      <c r="C10" s="10" t="s">
        <v>46</v>
      </c>
      <c r="D10" s="22" t="n">
        <v>60</v>
      </c>
      <c r="E10" s="23" t="n">
        <v>11940</v>
      </c>
    </row>
    <row r="11" customFormat="false" ht="15" hidden="false" customHeight="false" outlineLevel="0" collapsed="false">
      <c r="A11" s="10" t="s">
        <v>21</v>
      </c>
      <c r="B11" s="10" t="s">
        <v>11</v>
      </c>
      <c r="C11" s="10" t="s">
        <v>47</v>
      </c>
      <c r="D11" s="22" t="n">
        <v>42</v>
      </c>
      <c r="E11" s="23" t="n">
        <v>20958</v>
      </c>
    </row>
    <row r="12" customFormat="false" ht="15" hidden="false" customHeight="false" outlineLevel="0" collapsed="false">
      <c r="A12" s="10" t="s">
        <v>21</v>
      </c>
      <c r="B12" s="10" t="s">
        <v>12</v>
      </c>
      <c r="C12" s="10" t="s">
        <v>46</v>
      </c>
      <c r="D12" s="22" t="n">
        <v>50</v>
      </c>
      <c r="E12" s="23" t="n">
        <v>9950</v>
      </c>
    </row>
    <row r="13" customFormat="false" ht="15" hidden="false" customHeight="false" outlineLevel="0" collapsed="false">
      <c r="A13" s="10" t="s">
        <v>21</v>
      </c>
      <c r="B13" s="10" t="s">
        <v>12</v>
      </c>
      <c r="C13" s="10" t="s">
        <v>47</v>
      </c>
      <c r="D13" s="22" t="n">
        <v>55</v>
      </c>
      <c r="E13" s="23" t="n">
        <v>27445</v>
      </c>
    </row>
    <row r="14" customFormat="false" ht="15" hidden="false" customHeight="false" outlineLevel="0" collapsed="false">
      <c r="A14" s="10" t="s">
        <v>22</v>
      </c>
      <c r="B14" s="10" t="s">
        <v>10</v>
      </c>
      <c r="C14" s="10" t="s">
        <v>46</v>
      </c>
      <c r="D14" s="22" t="n">
        <v>54</v>
      </c>
      <c r="E14" s="23" t="n">
        <v>10746</v>
      </c>
    </row>
    <row r="15" customFormat="false" ht="15" hidden="false" customHeight="false" outlineLevel="0" collapsed="false">
      <c r="A15" s="10" t="s">
        <v>22</v>
      </c>
      <c r="B15" s="10" t="s">
        <v>10</v>
      </c>
      <c r="C15" s="10" t="s">
        <v>47</v>
      </c>
      <c r="D15" s="22" t="n">
        <v>59</v>
      </c>
      <c r="E15" s="23" t="n">
        <v>29441</v>
      </c>
    </row>
    <row r="16" customFormat="false" ht="15" hidden="false" customHeight="false" outlineLevel="0" collapsed="false">
      <c r="A16" s="10" t="s">
        <v>22</v>
      </c>
      <c r="B16" s="10" t="s">
        <v>11</v>
      </c>
      <c r="C16" s="10" t="s">
        <v>46</v>
      </c>
      <c r="D16" s="22" t="n">
        <v>44</v>
      </c>
      <c r="E16" s="23" t="n">
        <v>8756</v>
      </c>
    </row>
    <row r="17" customFormat="false" ht="15" hidden="false" customHeight="false" outlineLevel="0" collapsed="false">
      <c r="A17" s="10" t="s">
        <v>22</v>
      </c>
      <c r="B17" s="10" t="s">
        <v>11</v>
      </c>
      <c r="C17" s="10" t="s">
        <v>47</v>
      </c>
      <c r="D17" s="22" t="n">
        <v>49</v>
      </c>
      <c r="E17" s="23" t="n">
        <v>24451</v>
      </c>
    </row>
    <row r="18" customFormat="false" ht="15" hidden="false" customHeight="false" outlineLevel="0" collapsed="false">
      <c r="A18" s="10" t="s">
        <v>22</v>
      </c>
      <c r="B18" s="10" t="s">
        <v>12</v>
      </c>
      <c r="C18" s="10" t="s">
        <v>46</v>
      </c>
      <c r="D18" s="22" t="n">
        <v>57</v>
      </c>
      <c r="E18" s="23" t="n">
        <v>11343</v>
      </c>
    </row>
    <row r="19" customFormat="false" ht="15" hidden="false" customHeight="false" outlineLevel="0" collapsed="false">
      <c r="A19" s="10" t="s">
        <v>22</v>
      </c>
      <c r="B19" s="10" t="s">
        <v>12</v>
      </c>
      <c r="C19" s="10" t="s">
        <v>47</v>
      </c>
      <c r="D19" s="22" t="n">
        <v>62</v>
      </c>
      <c r="E19" s="23" t="n">
        <v>30938</v>
      </c>
    </row>
    <row r="20" customFormat="false" ht="15" hidden="false" customHeight="false" outlineLevel="0" collapsed="false">
      <c r="A20" s="10" t="s">
        <v>23</v>
      </c>
      <c r="B20" s="10" t="s">
        <v>10</v>
      </c>
      <c r="C20" s="10" t="s">
        <v>46</v>
      </c>
      <c r="D20" s="22" t="n">
        <v>61</v>
      </c>
      <c r="E20" s="23" t="n">
        <v>12139</v>
      </c>
    </row>
    <row r="21" customFormat="false" ht="15" hidden="false" customHeight="false" outlineLevel="0" collapsed="false">
      <c r="A21" s="10" t="s">
        <v>23</v>
      </c>
      <c r="B21" s="10" t="s">
        <v>10</v>
      </c>
      <c r="C21" s="10" t="s">
        <v>47</v>
      </c>
      <c r="D21" s="22" t="n">
        <v>43</v>
      </c>
      <c r="E21" s="23" t="n">
        <v>21457</v>
      </c>
    </row>
    <row r="22" customFormat="false" ht="15" hidden="false" customHeight="false" outlineLevel="0" collapsed="false">
      <c r="A22" s="10" t="s">
        <v>23</v>
      </c>
      <c r="B22" s="10" t="s">
        <v>11</v>
      </c>
      <c r="C22" s="10" t="s">
        <v>46</v>
      </c>
      <c r="D22" s="22" t="n">
        <v>51</v>
      </c>
      <c r="E22" s="23" t="n">
        <v>10149</v>
      </c>
    </row>
    <row r="23" customFormat="false" ht="15" hidden="false" customHeight="false" outlineLevel="0" collapsed="false">
      <c r="A23" s="10" t="s">
        <v>23</v>
      </c>
      <c r="B23" s="10" t="s">
        <v>11</v>
      </c>
      <c r="C23" s="10" t="s">
        <v>47</v>
      </c>
      <c r="D23" s="22" t="n">
        <v>56</v>
      </c>
      <c r="E23" s="23" t="n">
        <v>27944</v>
      </c>
    </row>
    <row r="24" customFormat="false" ht="15" hidden="false" customHeight="false" outlineLevel="0" collapsed="false">
      <c r="A24" s="10" t="s">
        <v>23</v>
      </c>
      <c r="B24" s="10" t="s">
        <v>12</v>
      </c>
      <c r="C24" s="10" t="s">
        <v>46</v>
      </c>
      <c r="D24" s="22" t="n">
        <v>41</v>
      </c>
      <c r="E24" s="23" t="n">
        <v>8159</v>
      </c>
    </row>
    <row r="25" customFormat="false" ht="15" hidden="false" customHeight="false" outlineLevel="0" collapsed="false">
      <c r="A25" s="10" t="s">
        <v>23</v>
      </c>
      <c r="B25" s="10" t="s">
        <v>12</v>
      </c>
      <c r="C25" s="10" t="s">
        <v>47</v>
      </c>
      <c r="D25" s="22" t="n">
        <v>46</v>
      </c>
      <c r="E25" s="23" t="n">
        <v>22954</v>
      </c>
    </row>
    <row r="26" customFormat="false" ht="15" hidden="false" customHeight="false" outlineLevel="0" collapsed="false">
      <c r="A26" s="10" t="s">
        <v>24</v>
      </c>
      <c r="B26" s="10" t="s">
        <v>10</v>
      </c>
      <c r="C26" s="10" t="s">
        <v>46</v>
      </c>
      <c r="D26" s="22" t="n">
        <v>45</v>
      </c>
      <c r="E26" s="23" t="n">
        <v>8955</v>
      </c>
    </row>
    <row r="27" customFormat="false" ht="15" hidden="false" customHeight="false" outlineLevel="0" collapsed="false">
      <c r="A27" s="10" t="s">
        <v>24</v>
      </c>
      <c r="B27" s="10" t="s">
        <v>10</v>
      </c>
      <c r="C27" s="10" t="s">
        <v>47</v>
      </c>
      <c r="D27" s="22" t="n">
        <v>50</v>
      </c>
      <c r="E27" s="23" t="n">
        <v>24950</v>
      </c>
    </row>
    <row r="28" customFormat="false" ht="15" hidden="false" customHeight="false" outlineLevel="0" collapsed="false">
      <c r="A28" s="10" t="s">
        <v>24</v>
      </c>
      <c r="B28" s="10" t="s">
        <v>11</v>
      </c>
      <c r="C28" s="10" t="s">
        <v>46</v>
      </c>
      <c r="D28" s="22" t="n">
        <v>58</v>
      </c>
      <c r="E28" s="23" t="n">
        <v>11542</v>
      </c>
    </row>
    <row r="29" customFormat="false" ht="15" hidden="false" customHeight="false" outlineLevel="0" collapsed="false">
      <c r="A29" s="10" t="s">
        <v>24</v>
      </c>
      <c r="B29" s="10" t="s">
        <v>11</v>
      </c>
      <c r="C29" s="10" t="s">
        <v>47</v>
      </c>
      <c r="D29" s="22" t="n">
        <v>40</v>
      </c>
      <c r="E29" s="23" t="n">
        <v>19960</v>
      </c>
    </row>
    <row r="30" customFormat="false" ht="15" hidden="false" customHeight="false" outlineLevel="0" collapsed="false">
      <c r="A30" s="10" t="s">
        <v>24</v>
      </c>
      <c r="B30" s="10" t="s">
        <v>12</v>
      </c>
      <c r="C30" s="10" t="s">
        <v>46</v>
      </c>
      <c r="D30" s="22" t="n">
        <v>48</v>
      </c>
      <c r="E30" s="23" t="n">
        <v>9552</v>
      </c>
    </row>
    <row r="31" customFormat="false" ht="15" hidden="false" customHeight="false" outlineLevel="0" collapsed="false">
      <c r="A31" s="10" t="s">
        <v>24</v>
      </c>
      <c r="B31" s="10" t="s">
        <v>12</v>
      </c>
      <c r="C31" s="10" t="s">
        <v>47</v>
      </c>
      <c r="D31" s="22" t="n">
        <v>53</v>
      </c>
      <c r="E31" s="23" t="n">
        <v>26447</v>
      </c>
    </row>
    <row r="32" customFormat="false" ht="15" hidden="false" customHeight="false" outlineLevel="0" collapsed="false">
      <c r="A32" s="10" t="s">
        <v>25</v>
      </c>
      <c r="B32" s="10" t="s">
        <v>10</v>
      </c>
      <c r="C32" s="10" t="s">
        <v>46</v>
      </c>
      <c r="D32" s="22" t="n">
        <v>52</v>
      </c>
      <c r="E32" s="23" t="n">
        <v>10348</v>
      </c>
    </row>
    <row r="33" customFormat="false" ht="15" hidden="false" customHeight="false" outlineLevel="0" collapsed="false">
      <c r="A33" s="10" t="s">
        <v>25</v>
      </c>
      <c r="B33" s="10" t="s">
        <v>10</v>
      </c>
      <c r="C33" s="10" t="s">
        <v>47</v>
      </c>
      <c r="D33" s="22" t="n">
        <v>57</v>
      </c>
      <c r="E33" s="23" t="n">
        <v>28443</v>
      </c>
    </row>
    <row r="34" customFormat="false" ht="15" hidden="false" customHeight="false" outlineLevel="0" collapsed="false">
      <c r="A34" s="10" t="s">
        <v>25</v>
      </c>
      <c r="B34" s="10" t="s">
        <v>11</v>
      </c>
      <c r="C34" s="10" t="s">
        <v>46</v>
      </c>
      <c r="D34" s="22" t="n">
        <v>42</v>
      </c>
      <c r="E34" s="23" t="n">
        <v>8358</v>
      </c>
    </row>
    <row r="35" customFormat="false" ht="15" hidden="false" customHeight="false" outlineLevel="0" collapsed="false">
      <c r="A35" s="10" t="s">
        <v>25</v>
      </c>
      <c r="B35" s="10" t="s">
        <v>11</v>
      </c>
      <c r="C35" s="10" t="s">
        <v>47</v>
      </c>
      <c r="D35" s="22" t="n">
        <v>47</v>
      </c>
      <c r="E35" s="23" t="n">
        <v>23453</v>
      </c>
    </row>
    <row r="36" customFormat="false" ht="15" hidden="false" customHeight="false" outlineLevel="0" collapsed="false">
      <c r="A36" s="10" t="s">
        <v>25</v>
      </c>
      <c r="B36" s="10" t="s">
        <v>12</v>
      </c>
      <c r="C36" s="10" t="s">
        <v>46</v>
      </c>
      <c r="D36" s="22" t="n">
        <v>55</v>
      </c>
      <c r="E36" s="23" t="n">
        <v>10945</v>
      </c>
    </row>
    <row r="37" customFormat="false" ht="15" hidden="false" customHeight="false" outlineLevel="0" collapsed="false">
      <c r="A37" s="10" t="s">
        <v>25</v>
      </c>
      <c r="B37" s="10" t="s">
        <v>12</v>
      </c>
      <c r="C37" s="10" t="s">
        <v>47</v>
      </c>
      <c r="D37" s="22" t="n">
        <v>60</v>
      </c>
      <c r="E37" s="23" t="n">
        <v>29940</v>
      </c>
    </row>
    <row r="38" customFormat="false" ht="15" hidden="false" customHeight="false" outlineLevel="0" collapsed="false">
      <c r="A38" s="24" t="s">
        <v>13</v>
      </c>
      <c r="D38" s="25" t="n">
        <f aca="false">SUM(D2:D37)</f>
        <v>1823</v>
      </c>
      <c r="E38" s="26" t="n">
        <f aca="false">SUM(E2:E37)</f>
        <v>639377</v>
      </c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2026-10-27T13:30:36Z</dcterms:created>
  <dc:creator>openpyxl</dc:creator>
  <dc:description/>
  <dc:language>pt-BR</dc:language>
  <cp:lastModifiedBy/>
  <dcterms:modified xsi:type="dcterms:W3CDTF">2026-10-27T13:30:36Z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