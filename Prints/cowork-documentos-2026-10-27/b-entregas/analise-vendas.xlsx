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definedNames>
    <definedName name="_xlnm._FilterDatabase" localSheetId="0" hidden="1">Dados!$A$1:$E$37</definedName>
  </definedNames>
  <calcPr calcId="124519" fullCalcOnLoad="1"/>
</workbook>
</file>

<file path=xl/sharedStrings.xml><?xml version="1.0" encoding="utf-8"?>
<sst xmlns="http://schemas.openxmlformats.org/spreadsheetml/2006/main" count="132" uniqueCount="22">
  <si>
    <t>Mês</t>
  </si>
  <si>
    <t>Região</t>
  </si>
  <si>
    <t>Produto</t>
  </si>
  <si>
    <t>Unidades</t>
  </si>
  <si>
    <t>Receita</t>
  </si>
  <si>
    <t>2026-01</t>
  </si>
  <si>
    <t>Sul</t>
  </si>
  <si>
    <t>Plano Basico</t>
  </si>
  <si>
    <t>Plano Pro</t>
  </si>
  <si>
    <t>Sudeste</t>
  </si>
  <si>
    <t>Nordeste</t>
  </si>
  <si>
    <t>2026-02</t>
  </si>
  <si>
    <t>2026-03</t>
  </si>
  <si>
    <t>2026-04</t>
  </si>
  <si>
    <t>2026-05</t>
  </si>
  <si>
    <t>2026-06</t>
  </si>
  <si>
    <t>Análise de vendas — 1º semestre de 2026</t>
  </si>
  <si>
    <t>Preparado pela Equipe Alfa</t>
  </si>
  <si>
    <t>Meta</t>
  </si>
  <si>
    <t>Atingimento</t>
  </si>
  <si>
    <t>Total</t>
  </si>
  <si>
    <t>Média mensal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</si>
</sst>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&quot;R$&quot; #,##0"/>
    <numFmt numFmtId="166" formatCode="0.0%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4EB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/>
      <top style="thin">
        <color rgb="FF1F4E79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5" fillId="3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vertical="center"/>
    </xf>
    <xf numFmtId="166" fontId="5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3">
    <dxf>
      <fill>
        <patternFill>
          <bgColor rgb="FFF2F4F7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C2B0E"/>
      </font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Receita por região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1F4E79"/>
            </a:solidFill>
            <a:ln>
              <a:solidFill>
                <a:srgbClr val="1F4E79"/>
              </a:solidFill>
            </a:ln>
          </c:spPr>
          <c:dLbls>
            <c:numFmt formatCode="&quot;R$&quot; #,##0" sourceLinked="0"/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Val val="1"/>
          </c:dLbls>
          <c:cat>
            <c:strRef>
              <c:f>'Resumo'!$A$5:$A$7</c:f>
              <c:strCache>
                <c:ptCount val="3"/>
                <c:pt idx="0">
                  <c:v>Sul</c:v>
                </c:pt>
                <c:pt idx="1">
                  <c:v>Sudeste</c:v>
                </c:pt>
                <c:pt idx="2">
                  <c:v>Nordeste</c:v>
                </c:pt>
              </c:strCache>
            </c:strRef>
          </c:cat>
          <c:val>
            <c:numRef>
              <c:f>'Resumo'!$B$5:$B$7</c:f>
              <c:numCache>
                <c:formatCode>General</c:formatCode>
                <c:ptCount val="3"/>
                <c:pt idx="0">
                  <c:v>212195.0</c:v>
                </c:pt>
                <c:pt idx="1">
                  <c:v>207000.0</c:v>
                </c:pt>
                <c:pt idx="2">
                  <c:v>220182.0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&quot;R$&quot; #,##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0.7109375" customWidth="1"/>
    <col min="3" max="3" width="14.7109375" customWidth="1"/>
    <col min="4" max="4" width="10.7109375" customWidth="1"/>
    <col min="5" max="5" width="11.7109375" customWidth="1"/>
  </cols>
  <sheetData>
    <row r="1" spans="1:5" ht="21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4">
        <v>40</v>
      </c>
      <c r="E2" s="5">
        <v>7960</v>
      </c>
    </row>
    <row r="3" spans="1:5">
      <c r="A3" s="3" t="s">
        <v>5</v>
      </c>
      <c r="B3" s="3" t="s">
        <v>6</v>
      </c>
      <c r="C3" s="3" t="s">
        <v>8</v>
      </c>
      <c r="D3" s="4">
        <v>45</v>
      </c>
      <c r="E3" s="5">
        <v>22455</v>
      </c>
    </row>
    <row r="4" spans="1:5">
      <c r="A4" s="3" t="s">
        <v>5</v>
      </c>
      <c r="B4" s="3" t="s">
        <v>9</v>
      </c>
      <c r="C4" s="3" t="s">
        <v>7</v>
      </c>
      <c r="D4" s="4">
        <v>53</v>
      </c>
      <c r="E4" s="5">
        <v>10547</v>
      </c>
    </row>
    <row r="5" spans="1:5">
      <c r="A5" s="3" t="s">
        <v>5</v>
      </c>
      <c r="B5" s="3" t="s">
        <v>9</v>
      </c>
      <c r="C5" s="3" t="s">
        <v>8</v>
      </c>
      <c r="D5" s="4">
        <v>58</v>
      </c>
      <c r="E5" s="5">
        <v>28942</v>
      </c>
    </row>
    <row r="6" spans="1:5">
      <c r="A6" s="3" t="s">
        <v>5</v>
      </c>
      <c r="B6" s="3" t="s">
        <v>10</v>
      </c>
      <c r="C6" s="3" t="s">
        <v>7</v>
      </c>
      <c r="D6" s="4">
        <v>43</v>
      </c>
      <c r="E6" s="5">
        <v>8557</v>
      </c>
    </row>
    <row r="7" spans="1:5">
      <c r="A7" s="3" t="s">
        <v>5</v>
      </c>
      <c r="B7" s="3" t="s">
        <v>10</v>
      </c>
      <c r="C7" s="3" t="s">
        <v>8</v>
      </c>
      <c r="D7" s="4">
        <v>48</v>
      </c>
      <c r="E7" s="5">
        <v>23952</v>
      </c>
    </row>
    <row r="8" spans="1:5">
      <c r="A8" s="3" t="s">
        <v>11</v>
      </c>
      <c r="B8" s="3" t="s">
        <v>6</v>
      </c>
      <c r="C8" s="3" t="s">
        <v>7</v>
      </c>
      <c r="D8" s="4">
        <v>47</v>
      </c>
      <c r="E8" s="5">
        <v>9353</v>
      </c>
    </row>
    <row r="9" spans="1:5">
      <c r="A9" s="3" t="s">
        <v>11</v>
      </c>
      <c r="B9" s="3" t="s">
        <v>6</v>
      </c>
      <c r="C9" s="3" t="s">
        <v>8</v>
      </c>
      <c r="D9" s="4">
        <v>52</v>
      </c>
      <c r="E9" s="5">
        <v>25948</v>
      </c>
    </row>
    <row r="10" spans="1:5">
      <c r="A10" s="3" t="s">
        <v>11</v>
      </c>
      <c r="B10" s="3" t="s">
        <v>9</v>
      </c>
      <c r="C10" s="3" t="s">
        <v>7</v>
      </c>
      <c r="D10" s="4">
        <v>60</v>
      </c>
      <c r="E10" s="5">
        <v>11940</v>
      </c>
    </row>
    <row r="11" spans="1:5">
      <c r="A11" s="3" t="s">
        <v>11</v>
      </c>
      <c r="B11" s="3" t="s">
        <v>9</v>
      </c>
      <c r="C11" s="3" t="s">
        <v>8</v>
      </c>
      <c r="D11" s="4">
        <v>42</v>
      </c>
      <c r="E11" s="5">
        <v>20958</v>
      </c>
    </row>
    <row r="12" spans="1:5">
      <c r="A12" s="3" t="s">
        <v>11</v>
      </c>
      <c r="B12" s="3" t="s">
        <v>10</v>
      </c>
      <c r="C12" s="3" t="s">
        <v>7</v>
      </c>
      <c r="D12" s="4">
        <v>50</v>
      </c>
      <c r="E12" s="5">
        <v>9950</v>
      </c>
    </row>
    <row r="13" spans="1:5">
      <c r="A13" s="3" t="s">
        <v>11</v>
      </c>
      <c r="B13" s="3" t="s">
        <v>10</v>
      </c>
      <c r="C13" s="3" t="s">
        <v>8</v>
      </c>
      <c r="D13" s="4">
        <v>55</v>
      </c>
      <c r="E13" s="5">
        <v>27445</v>
      </c>
    </row>
    <row r="14" spans="1:5">
      <c r="A14" s="3" t="s">
        <v>12</v>
      </c>
      <c r="B14" s="3" t="s">
        <v>6</v>
      </c>
      <c r="C14" s="3" t="s">
        <v>7</v>
      </c>
      <c r="D14" s="4">
        <v>54</v>
      </c>
      <c r="E14" s="5">
        <v>10746</v>
      </c>
    </row>
    <row r="15" spans="1:5">
      <c r="A15" s="3" t="s">
        <v>12</v>
      </c>
      <c r="B15" s="3" t="s">
        <v>6</v>
      </c>
      <c r="C15" s="3" t="s">
        <v>8</v>
      </c>
      <c r="D15" s="4">
        <v>59</v>
      </c>
      <c r="E15" s="5">
        <v>29441</v>
      </c>
    </row>
    <row r="16" spans="1:5">
      <c r="A16" s="3" t="s">
        <v>12</v>
      </c>
      <c r="B16" s="3" t="s">
        <v>9</v>
      </c>
      <c r="C16" s="3" t="s">
        <v>7</v>
      </c>
      <c r="D16" s="4">
        <v>44</v>
      </c>
      <c r="E16" s="5">
        <v>8756</v>
      </c>
    </row>
    <row r="17" spans="1:5">
      <c r="A17" s="3" t="s">
        <v>12</v>
      </c>
      <c r="B17" s="3" t="s">
        <v>9</v>
      </c>
      <c r="C17" s="3" t="s">
        <v>8</v>
      </c>
      <c r="D17" s="4">
        <v>49</v>
      </c>
      <c r="E17" s="5">
        <v>24451</v>
      </c>
    </row>
    <row r="18" spans="1:5">
      <c r="A18" s="3" t="s">
        <v>12</v>
      </c>
      <c r="B18" s="3" t="s">
        <v>10</v>
      </c>
      <c r="C18" s="3" t="s">
        <v>7</v>
      </c>
      <c r="D18" s="4">
        <v>57</v>
      </c>
      <c r="E18" s="5">
        <v>11343</v>
      </c>
    </row>
    <row r="19" spans="1:5">
      <c r="A19" s="3" t="s">
        <v>12</v>
      </c>
      <c r="B19" s="3" t="s">
        <v>10</v>
      </c>
      <c r="C19" s="3" t="s">
        <v>8</v>
      </c>
      <c r="D19" s="4">
        <v>62</v>
      </c>
      <c r="E19" s="5">
        <v>30938</v>
      </c>
    </row>
    <row r="20" spans="1:5">
      <c r="A20" s="3" t="s">
        <v>13</v>
      </c>
      <c r="B20" s="3" t="s">
        <v>6</v>
      </c>
      <c r="C20" s="3" t="s">
        <v>7</v>
      </c>
      <c r="D20" s="4">
        <v>61</v>
      </c>
      <c r="E20" s="5">
        <v>12139</v>
      </c>
    </row>
    <row r="21" spans="1:5">
      <c r="A21" s="3" t="s">
        <v>13</v>
      </c>
      <c r="B21" s="3" t="s">
        <v>6</v>
      </c>
      <c r="C21" s="3" t="s">
        <v>8</v>
      </c>
      <c r="D21" s="4">
        <v>43</v>
      </c>
      <c r="E21" s="5">
        <v>21457</v>
      </c>
    </row>
    <row r="22" spans="1:5">
      <c r="A22" s="3" t="s">
        <v>13</v>
      </c>
      <c r="B22" s="3" t="s">
        <v>9</v>
      </c>
      <c r="C22" s="3" t="s">
        <v>7</v>
      </c>
      <c r="D22" s="4">
        <v>51</v>
      </c>
      <c r="E22" s="5">
        <v>10149</v>
      </c>
    </row>
    <row r="23" spans="1:5">
      <c r="A23" s="3" t="s">
        <v>13</v>
      </c>
      <c r="B23" s="3" t="s">
        <v>9</v>
      </c>
      <c r="C23" s="3" t="s">
        <v>8</v>
      </c>
      <c r="D23" s="4">
        <v>56</v>
      </c>
      <c r="E23" s="5">
        <v>27944</v>
      </c>
    </row>
    <row r="24" spans="1:5">
      <c r="A24" s="3" t="s">
        <v>13</v>
      </c>
      <c r="B24" s="3" t="s">
        <v>10</v>
      </c>
      <c r="C24" s="3" t="s">
        <v>7</v>
      </c>
      <c r="D24" s="4">
        <v>41</v>
      </c>
      <c r="E24" s="5">
        <v>8159</v>
      </c>
    </row>
    <row r="25" spans="1:5">
      <c r="A25" s="3" t="s">
        <v>13</v>
      </c>
      <c r="B25" s="3" t="s">
        <v>10</v>
      </c>
      <c r="C25" s="3" t="s">
        <v>8</v>
      </c>
      <c r="D25" s="4">
        <v>46</v>
      </c>
      <c r="E25" s="5">
        <v>22954</v>
      </c>
    </row>
    <row r="26" spans="1:5">
      <c r="A26" s="3" t="s">
        <v>14</v>
      </c>
      <c r="B26" s="3" t="s">
        <v>6</v>
      </c>
      <c r="C26" s="3" t="s">
        <v>7</v>
      </c>
      <c r="D26" s="4">
        <v>45</v>
      </c>
      <c r="E26" s="5">
        <v>8955</v>
      </c>
    </row>
    <row r="27" spans="1:5">
      <c r="A27" s="3" t="s">
        <v>14</v>
      </c>
      <c r="B27" s="3" t="s">
        <v>6</v>
      </c>
      <c r="C27" s="3" t="s">
        <v>8</v>
      </c>
      <c r="D27" s="4">
        <v>50</v>
      </c>
      <c r="E27" s="5">
        <v>24950</v>
      </c>
    </row>
    <row r="28" spans="1:5">
      <c r="A28" s="3" t="s">
        <v>14</v>
      </c>
      <c r="B28" s="3" t="s">
        <v>9</v>
      </c>
      <c r="C28" s="3" t="s">
        <v>7</v>
      </c>
      <c r="D28" s="4">
        <v>58</v>
      </c>
      <c r="E28" s="5">
        <v>11542</v>
      </c>
    </row>
    <row r="29" spans="1:5">
      <c r="A29" s="3" t="s">
        <v>14</v>
      </c>
      <c r="B29" s="3" t="s">
        <v>9</v>
      </c>
      <c r="C29" s="3" t="s">
        <v>8</v>
      </c>
      <c r="D29" s="4">
        <v>40</v>
      </c>
      <c r="E29" s="5">
        <v>19960</v>
      </c>
    </row>
    <row r="30" spans="1:5">
      <c r="A30" s="3" t="s">
        <v>14</v>
      </c>
      <c r="B30" s="3" t="s">
        <v>10</v>
      </c>
      <c r="C30" s="3" t="s">
        <v>7</v>
      </c>
      <c r="D30" s="4">
        <v>48</v>
      </c>
      <c r="E30" s="5">
        <v>9552</v>
      </c>
    </row>
    <row r="31" spans="1:5">
      <c r="A31" s="3" t="s">
        <v>14</v>
      </c>
      <c r="B31" s="3" t="s">
        <v>10</v>
      </c>
      <c r="C31" s="3" t="s">
        <v>8</v>
      </c>
      <c r="D31" s="4">
        <v>53</v>
      </c>
      <c r="E31" s="5">
        <v>26447</v>
      </c>
    </row>
    <row r="32" spans="1:5">
      <c r="A32" s="3" t="s">
        <v>15</v>
      </c>
      <c r="B32" s="3" t="s">
        <v>6</v>
      </c>
      <c r="C32" s="3" t="s">
        <v>7</v>
      </c>
      <c r="D32" s="4">
        <v>52</v>
      </c>
      <c r="E32" s="5">
        <v>10348</v>
      </c>
    </row>
    <row r="33" spans="1:5">
      <c r="A33" s="3" t="s">
        <v>15</v>
      </c>
      <c r="B33" s="3" t="s">
        <v>6</v>
      </c>
      <c r="C33" s="3" t="s">
        <v>8</v>
      </c>
      <c r="D33" s="4">
        <v>57</v>
      </c>
      <c r="E33" s="5">
        <v>28443</v>
      </c>
    </row>
    <row r="34" spans="1:5">
      <c r="A34" s="3" t="s">
        <v>15</v>
      </c>
      <c r="B34" s="3" t="s">
        <v>9</v>
      </c>
      <c r="C34" s="3" t="s">
        <v>7</v>
      </c>
      <c r="D34" s="4">
        <v>42</v>
      </c>
      <c r="E34" s="5">
        <v>8358</v>
      </c>
    </row>
    <row r="35" spans="1:5">
      <c r="A35" s="3" t="s">
        <v>15</v>
      </c>
      <c r="B35" s="3" t="s">
        <v>9</v>
      </c>
      <c r="C35" s="3" t="s">
        <v>8</v>
      </c>
      <c r="D35" s="4">
        <v>47</v>
      </c>
      <c r="E35" s="5">
        <v>23453</v>
      </c>
    </row>
    <row r="36" spans="1:5">
      <c r="A36" s="3" t="s">
        <v>15</v>
      </c>
      <c r="B36" s="3" t="s">
        <v>10</v>
      </c>
      <c r="C36" s="3" t="s">
        <v>7</v>
      </c>
      <c r="D36" s="4">
        <v>55</v>
      </c>
      <c r="E36" s="5">
        <v>10945</v>
      </c>
    </row>
    <row r="37" spans="1:5">
      <c r="A37" s="3" t="s">
        <v>15</v>
      </c>
      <c r="B37" s="3" t="s">
        <v>10</v>
      </c>
      <c r="C37" s="3" t="s">
        <v>8</v>
      </c>
      <c r="D37" s="4">
        <v>60</v>
      </c>
      <c r="E37" s="5">
        <v>29940</v>
      </c>
    </row>
  </sheetData>
  <autoFilter ref="A1:E37"/>
  <conditionalFormatting sqref="A2:E37">
    <cfRule type="expression" dxfId="0" priority="1">
      <formula>MOD(ROW(),2)=0</formula>
    </cfRule>
  </conditionalFormatting>
  <pageMargins left="0.7" right="0.7" top="0.75" bottom="0.75" header="0.3" footer="0.3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D18"/>
  <sheetViews>
    <sheetView workbookViewId="0"/>
  </sheetViews>
  <sheetFormatPr defaultRowHeight="15"/>
  <cols>
    <col min="1" max="1" width="22.7109375" customWidth="1"/>
    <col min="2" max="3" width="18.7109375" customWidth="1"/>
    <col min="4" max="4" width="16.7109375" customWidth="1"/>
  </cols>
  <sheetData>
    <row r="1" spans="1:4">
      <c r="A1" s="6" t="s">
        <v>16</v>
      </c>
    </row>
    <row r="2" spans="1:4">
      <c r="A2" s="7" t="s">
        <v>17</v>
      </c>
    </row>
    <row r="4" spans="1:4">
      <c r="A4" s="1" t="s">
        <v>1</v>
      </c>
      <c r="B4" s="2" t="s">
        <v>4</v>
      </c>
      <c r="C4" s="2" t="s">
        <v>18</v>
      </c>
      <c r="D4" s="2" t="s">
        <v>19</v>
      </c>
    </row>
    <row r="5" spans="1:4">
      <c r="A5" s="3" t="s">
        <v>6</v>
      </c>
      <c r="B5" s="5">
        <f>SUMIF(Dados!$B$2:$B$37,A5,Dados!$E$2:$E$37)</f>
        <v>212195.0</v>
      </c>
      <c r="C5" s="5">
        <v>150000</v>
      </c>
      <c r="D5" s="8">
        <f>IF(C5&gt;0,B5/C5,0)</f>
        <v>1.4146333333333334</v>
      </c>
    </row>
    <row r="6" spans="1:4">
      <c r="A6" s="3" t="s">
        <v>9</v>
      </c>
      <c r="B6" s="5">
        <f>SUMIF(Dados!$B$2:$B$37,A6,Dados!$E$2:$E$37)</f>
        <v>207000.0</v>
      </c>
      <c r="C6" s="5">
        <v>200000</v>
      </c>
      <c r="D6" s="8">
        <f>IF(C6&gt;0,B6/C6,0)</f>
        <v>1.035</v>
      </c>
    </row>
    <row r="7" spans="1:4">
      <c r="A7" s="3" t="s">
        <v>10</v>
      </c>
      <c r="B7" s="5">
        <f>SUMIF(Dados!$B$2:$B$37,A7,Dados!$E$2:$E$37)</f>
        <v>220182.0</v>
      </c>
      <c r="C7" s="5">
        <v>130000</v>
      </c>
      <c r="D7" s="8">
        <f>IF(C7&gt;0,B7/C7,0)</f>
        <v>1.6937076923076924</v>
      </c>
    </row>
    <row r="8" spans="1:4">
      <c r="A8" s="9" t="s">
        <v>20</v>
      </c>
      <c r="B8" s="10">
        <f>SUM(B5:B7)</f>
        <v>639377.0</v>
      </c>
      <c r="C8" s="10">
        <f>SUM(C5:C7)</f>
        <v>480000.0</v>
      </c>
      <c r="D8" s="11">
        <f>IF(C8&gt;0,B8/C8,0)</f>
        <v>1.3320354166666666</v>
      </c>
    </row>
    <row r="11" spans="1:4">
      <c r="A11" s="1" t="s">
        <v>0</v>
      </c>
      <c r="B11" s="2" t="s">
        <v>4</v>
      </c>
    </row>
    <row r="12" spans="1:4">
      <c r="A12" s="3" t="s">
        <v>5</v>
      </c>
      <c r="B12" s="5">
        <f>SUMIF(Dados!$A$2:$A$37,A12,Dados!$E$2:$E$37)</f>
        <v>102413.0</v>
      </c>
    </row>
    <row r="13" spans="1:4">
      <c r="A13" s="3" t="s">
        <v>11</v>
      </c>
      <c r="B13" s="5">
        <f>SUMIF(Dados!$A$2:$A$37,A13,Dados!$E$2:$E$37)</f>
        <v>105594.0</v>
      </c>
    </row>
    <row r="14" spans="1:4">
      <c r="A14" s="3" t="s">
        <v>12</v>
      </c>
      <c r="B14" s="5">
        <f>SUMIF(Dados!$A$2:$A$37,A14,Dados!$E$2:$E$37)</f>
        <v>115675.0</v>
      </c>
    </row>
    <row r="15" spans="1:4">
      <c r="A15" s="3" t="s">
        <v>13</v>
      </c>
      <c r="B15" s="5">
        <f>SUMIF(Dados!$A$2:$A$37,A15,Dados!$E$2:$E$37)</f>
        <v>102802.0</v>
      </c>
    </row>
    <row r="16" spans="1:4">
      <c r="A16" s="3" t="s">
        <v>14</v>
      </c>
      <c r="B16" s="5">
        <f>SUMIF(Dados!$A$2:$A$37,A16,Dados!$E$2:$E$37)</f>
        <v>101406.0</v>
      </c>
    </row>
    <row r="17" spans="1:2">
      <c r="A17" s="3" t="s">
        <v>15</v>
      </c>
      <c r="B17" s="5">
        <f>SUMIF(Dados!$A$2:$A$37,A17,Dados!$E$2:$E$37)</f>
        <v>111487.0</v>
      </c>
    </row>
    <row r="18" spans="1:2">
      <c r="A18" s="9" t="s">
        <v>21</v>
      </c>
      <c r="B18" s="10">
        <f>AVERAGE(B12:B17)</f>
        <v>106562.83333333333</v>
      </c>
    </row>
  </sheetData>
  <conditionalFormatting sqref="D5:D8">
    <cfRule type="cellIs" dxfId="1" priority="1" operator="greaterThanOrEqual">
      <formula>1.0</formula>
    </cfRule>
    <cfRule type="cellIs" dxfId="2" priority="2" operator="lessThan">
      <formula>1.0</formula>
    </cfRule>
  </conditionalFormatting>
  <pageMargins left="0.7" right="0.7" top="0.75" bottom="0.75" header="0.3" footer="0.3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Análise de vendas — 1º semestre de 2026</dc:title>
  <dc:creator/>
  <dc:description>Criado no Openclod</dc:description>
  <cp:lastModifiedBy/>
  <dcterms:created xsi:type="dcterms:W3CDTF">2026-10-27T15:42:04Z</dcterms:created>
  <dcterms:modified xsi:type="dcterms:W3CDTF">2026-10-27T15:42:04Z</dcterms:modified>
</cp:coreProperties>
</file>